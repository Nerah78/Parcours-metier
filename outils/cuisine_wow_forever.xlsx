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15.xml.rels" ContentType="application/vnd.openxmlformats-package.relationships+xml"/>
  <Override PartName="/xl/worksheets/_rels/sheet9.xml.rels" ContentType="application/vnd.openxmlformats-package.relationships+xml"/>
  <Override PartName="/xl/worksheets/_rels/sheet2.xml.rels" ContentType="application/vnd.openxmlformats-package.relationships+xml"/>
  <Override PartName="/xl/worksheets/_rels/sheet3.xml.rels" ContentType="application/vnd.openxmlformats-package.relationships+xml"/>
  <Override PartName="/xl/worksheets/_rels/sheet4.xml.rels" ContentType="application/vnd.openxmlformats-package.relationships+xml"/>
  <Override PartName="/xl/worksheets/_rels/sheet10.xml.rels" ContentType="application/vnd.openxmlformats-package.relationships+xml"/>
  <Override PartName="/xl/worksheets/_rels/sheet7.xml.rels" ContentType="application/vnd.openxmlformats-package.relationships+xml"/>
  <Override PartName="/xl/worksheets/_rels/sheet13.xml.rels" ContentType="application/vnd.openxmlformats-package.relationships+xml"/>
  <Override PartName="/xl/worksheets/_rels/sheet8.xml.rels" ContentType="application/vnd.openxmlformats-package.relationships+xml"/>
  <Override PartName="/xl/worksheets/_rels/sheet14.xml.rels" ContentType="application/vnd.openxmlformats-package.relationships+xml"/>
  <Override PartName="/xl/worksheets/_rels/sheet6.xml.rels" ContentType="application/vnd.openxmlformats-package.relationships+xml"/>
  <Override PartName="/xl/worksheets/sheet11.xml" ContentType="application/vnd.openxmlformats-officedocument.spreadsheetml.worksheet+xml"/>
  <Override PartName="/xl/worksheets/sheet6.xml" ContentType="application/vnd.openxmlformats-officedocument.spreadsheetml.worksheet+xml"/>
  <Override PartName="/xl/worksheets/sheet10.xml" ContentType="application/vnd.openxmlformats-officedocument.spreadsheetml.worksheet+xml"/>
  <Override PartName="/xl/worksheets/sheet5.xml" ContentType="application/vnd.openxmlformats-officedocument.spreadsheetml.worksheet+xml"/>
  <Override PartName="/xl/worksheets/sheet18.xml" ContentType="application/vnd.openxmlformats-officedocument.spreadsheetml.worksheet+xml"/>
  <Override PartName="/xl/worksheets/sheet17.xml" ContentType="application/vnd.openxmlformats-officedocument.spreadsheetml.worksheet+xml"/>
  <Override PartName="/xl/worksheets/sheet16.xml" ContentType="application/vnd.openxmlformats-officedocument.spreadsheetml.worksheet+xml"/>
  <Override PartName="/xl/worksheets/sheet15.xml" ContentType="application/vnd.openxmlformats-officedocument.spreadsheetml.worksheet+xml"/>
  <Override PartName="/xl/worksheets/sheet4.xml" ContentType="application/vnd.openxmlformats-officedocument.spreadsheetml.worksheet+xml"/>
  <Override PartName="/xl/worksheets/sheet1.xml" ContentType="application/vnd.openxmlformats-officedocument.spreadsheetml.worksheet+xml"/>
  <Override PartName="/xl/worksheets/sheet7.xml" ContentType="application/vnd.openxmlformats-officedocument.spreadsheetml.worksheet+xml"/>
  <Override PartName="/xl/worksheets/sheet12.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9.xml" ContentType="application/vnd.openxmlformats-officedocument.spreadsheetml.worksheet+xml"/>
  <Override PartName="/xl/worksheets/sheet14.xml" ContentType="application/vnd.openxmlformats-officedocument.spreadsheetml.worksheet+xml"/>
  <Override PartName="/xl/worksheets/sheet13.xml" ContentType="application/vnd.openxmlformats-officedocument.spreadsheetml.worksheet+xml"/>
  <Override PartName="/xl/worksheets/sheet8.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10.xml" ContentType="application/vnd.openxmlformats-officedocument.drawing+xml"/>
  <Override PartName="/xl/drawings/drawing7.xml" ContentType="application/vnd.openxmlformats-officedocument.drawing+xml"/>
  <Override PartName="/xl/drawings/drawing11.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Légende" sheetId="1" state="visible" r:id="rId3"/>
    <sheet name="Recettes" sheetId="2" state="visible" r:id="rId4"/>
    <sheet name="Plan_quêtes" sheetId="3" state="visible" r:id="rId5"/>
    <sheet name="Plan_matériaux" sheetId="4" state="visible" r:id="rId6"/>
    <sheet name="Hypothèses" sheetId="5" state="visible" r:id="rId7"/>
    <sheet name="Composants" sheetId="6" state="visible" r:id="rId8"/>
    <sheet name="Ingrédients" sheetId="7" state="visible" r:id="rId9"/>
    <sheet name="Sources" sheetId="8" state="visible" r:id="rId10"/>
    <sheet name="Marchands" sheetId="9" state="visible" r:id="rId11"/>
    <sheet name="Marchands_recettes" sheetId="10" state="visible" r:id="rId12"/>
    <sheet name="Rangs_métier" sheetId="11" state="visible" r:id="rId13"/>
    <sheet name="Sources_données" sheetId="12" state="visible" r:id="rId14"/>
    <sheet name="Web_marchands" sheetId="13" state="visible" r:id="rId15"/>
    <sheet name="Web_recettes" sheetId="14" state="visible" r:id="rId16"/>
    <sheet name="Web_maitres" sheetId="15" state="visible" r:id="rId17"/>
    <sheet name="QDB_Maitres" sheetId="16" state="visible" r:id="rId18"/>
    <sheet name="QDB_Quetes" sheetId="17" state="visible" r:id="rId19"/>
    <sheet name="QDB_Vendeurs" sheetId="18" state="visible" r:id="rId20"/>
  </sheets>
  <definedNames>
    <definedName function="false" hidden="true" localSheetId="5" name="_xlnm._FilterDatabase" vbProcedure="false">Composants!$A$1:$E$218</definedName>
    <definedName function="false" hidden="true" localSheetId="6" name="_xlnm._FilterDatabase" vbProcedure="false">Ingrédients!$A$1:$G$98</definedName>
    <definedName function="false" hidden="true" localSheetId="8" name="_xlnm._FilterDatabase" vbProcedure="false">Marchands!$A$1:$H$30</definedName>
    <definedName function="false" hidden="true" localSheetId="9" name="_xlnm._FilterDatabase" vbProcedure="false">Marchands_recettes!$A$1:$J$4</definedName>
    <definedName function="false" hidden="true" localSheetId="3" name="_xlnm._FilterDatabase" vbProcedure="false">Plan_matériaux!$A$1:$J$19</definedName>
    <definedName function="false" hidden="true" localSheetId="2" name="_xlnm._FilterDatabase" vbProcedure="false">Plan_quêtes!$A$1:$L$11</definedName>
    <definedName function="false" hidden="true" localSheetId="1" name="_xlnm._FilterDatabase" vbProcedure="false">Recettes!$A$1:$M$112</definedName>
    <definedName function="false" hidden="true" localSheetId="7" name="_xlnm._FilterDatabase" vbProcedure="false">Sources!$A$1:$J$158</definedName>
    <definedName function="false" hidden="true" localSheetId="14" name="_xlnm._FilterDatabase" vbProcedure="false">Web_maitres!$A$1:$E$7</definedName>
    <definedName function="false" hidden="true" localSheetId="12" name="_xlnm._FilterDatabase" vbProcedure="false">Web_marchands!$A$1:$L$26</definedName>
    <definedName function="false" hidden="true" localSheetId="13" name="_xlnm._FilterDatabase" vbProcedure="false">Web_recettes!$A$1:$H$29</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<sst xmlns="http://schemas.openxmlformats.org/spreadsheetml/2006/main" count="9168" uniqueCount="1789">
  <si>
    <t xml:space="preserve">Base de données Cuisine — addon WoW Forever</t>
  </si>
  <si>
    <t xml:space="preserve">Onglets</t>
  </si>
  <si>
    <t xml:space="preserve">Recettes : une ligne par recette (niveaux orange/jaune/vert/gris, appris chez un maître ou non).</t>
  </si>
  <si>
    <t xml:space="preserve">Composants : lien recette ↔ ingrédient avec la quantité (clé de jointure : id_recette, id_ingrédient).</t>
  </si>
  <si>
    <t xml:space="preserve">Ingrédients : liste unique des ingrédients, avec le nombre de recettes qui les utilisent (formule).</t>
  </si>
  <si>
    <t xml:space="preserve">Sources : où trouver chaque ingrédient (monstre, pêche, vendeur), une ligne par ingrédient et par zone. Rempli à partir de Wowhead Classic ; lignes jaunes libres pour compléter.</t>
  </si>
  <si>
    <t xml:space="preserve">Marchands : marchands de composants relevés en jeu par l'addon CuisineMarchands (PNJ, zone, mapID, position, composants).</t>
  </si>
  <si>
    <t xml:space="preserve">Marchands_recettes : recettes de cuisine vendues par des marchands (relevés en jeu), reliées aux recettes et au plan de quêtes.</t>
  </si>
  <si>
    <t xml:space="preserve">Rangs_métier : paliers d'apprentissage (Apprenti → Artisan).</t>
  </si>
  <si>
    <t xml:space="preserve">Sources_données : provenance et limites des données.</t>
  </si>
  <si>
    <t xml:space="preserve">Cellules à remplir</t>
  </si>
  <si>
    <t xml:space="preserve">Onglet Sources : les données viennent de Wowhead Classic (1.15.8), PAS de la bêta Forever. À confirmer en jeu : zones et niveaux peuvent différer.</t>
  </si>
  <si>
    <t xml:space="preserve">Onglet Ingrédients, colonne Statut : « À renseigner » = aucune source trouvée (flétan épineux, poisson cuirassé, fantaileron, articles de vendeur, etc.).</t>
  </si>
  <si>
    <t xml:space="preserve">Onglet Recettes, colonne « Contrôle » = À vérifier : niveaux de couleur incohérents dans la source, à contrôler en jeu (bêta).</t>
  </si>
  <si>
    <t xml:space="preserve">Limites connues</t>
  </si>
  <si>
    <t xml:space="preserve">Recettes : 111 sur 130 récupérées (la page source a été tronquée). Il manque notamment Bruscitt d'ours.</t>
  </si>
  <si>
    <t xml:space="preserve">Les niveaux sont ceux de la bêta (version 1.60.1) et peuvent changer avant la sortie.</t>
  </si>
  <si>
    <t xml:space="preserve">Sources : les ingrédients sans ligne (poissons, loup rouge, etc.) restent à renseigner ; le taux de butin n'est pas dans les guides.</t>
  </si>
  <si>
    <t xml:space="preserve">Qté produite : déduite du préfixe ×N affiché devant le nom de la recette sur la page source (non vérifié en jeu).</t>
  </si>
  <si>
    <t xml:space="preserve">Plan de progression (1 → 300)</t>
  </si>
  <si>
    <t xml:space="preserve">Plan_quêtes : une ligne = une quête (recette à cuisiner N fois, entre deux niveaux de compétence). Hypothèses : chances de gain modifiables.</t>
  </si>
  <si>
    <t xml:space="preserve">Plan_matériaux : ingrédients à récolter pour chaque quête, avec le statut de leur source. Le total par ingrédient est dans Ingrédients (colonne G).</t>
  </si>
  <si>
    <t xml:space="preserve">Plan indicatif : à valider en jeu sur la bêta (voir l'onglet Hypothèses).</t>
  </si>
  <si>
    <t xml:space="preserve">Web_marchands, Web_recettes, Web_maitres : résultats de la recherche web (données Classic, NON confirmées sur la bêta). Ne servent pas à générer l'addon.</t>
  </si>
  <si>
    <t xml:space="preserve">Marchands_recettes, colonne Origine : « Relevé en jeu » = confirmé ; « Web » = à confirmer en jeu.</t>
  </si>
  <si>
    <t xml:space="preserve">QDB_Maitres, QDB_Quetes, QDB_Vendeurs : copie brute de l'extraction QuestieDB (Classic Era). Données de référence, NON confirmées sur la bêta Forever.</t>
  </si>
  <si>
    <t xml:space="preserve">Recettes, colonne N : niveau orange selon QuestieDB (comparaison ; la colonne G n'est pas modifiée). Plan_quêtes, colonne M : détail d'obtention.</t>
  </si>
  <si>
    <t xml:space="preserve">Licence : QuestieDB (GPL v3, à confirmer) et AtlasLoot Classic (GPL v2) : publier l'addon avec ces données impose une licence compatible GPL, un fichier LICENSE et des crédits.</t>
  </si>
  <si>
    <t xml:space="preserve">id_recette</t>
  </si>
  <si>
    <t xml:space="preserve">Type d'id</t>
  </si>
  <si>
    <t xml:space="preserve">Recette</t>
  </si>
  <si>
    <t xml:space="preserve">Nouveau dans Forever</t>
  </si>
  <si>
    <t xml:space="preserve">Appris chez un maître</t>
  </si>
  <si>
    <t xml:space="preserve">Qté produite</t>
  </si>
  <si>
    <t xml:space="preserve">Orange</t>
  </si>
  <si>
    <t xml:space="preserve">Jaune</t>
  </si>
  <si>
    <t xml:space="preserve">Vert</t>
  </si>
  <si>
    <t xml:space="preserve">Gris</t>
  </si>
  <si>
    <t xml:space="preserve">Brut (source)</t>
  </si>
  <si>
    <t xml:space="preserve">Contrôle</t>
  </si>
  <si>
    <t xml:space="preserve">Nb composants</t>
  </si>
  <si>
    <t xml:space="preserve">Orange (QuestieDB)</t>
  </si>
  <si>
    <t xml:space="preserve">sort</t>
  </si>
  <si>
    <t xml:space="preserve">Kit de feu de camp basique</t>
  </si>
  <si>
    <t xml:space="preserve">Oui</t>
  </si>
  <si>
    <t xml:space="preserve">135</t>
  </si>
  <si>
    <t xml:space="preserve">OK</t>
  </si>
  <si>
    <t xml:space="preserve">objet</t>
  </si>
  <si>
    <t xml:space="preserve">Frappé venimeux</t>
  </si>
  <si>
    <t xml:space="preserve">Non</t>
  </si>
  <si>
    <t xml:space="preserve">2551015</t>
  </si>
  <si>
    <t xml:space="preserve">À vérifier</t>
  </si>
  <si>
    <t xml:space="preserve">Soufflé de Mur-Céleste</t>
  </si>
  <si>
    <t xml:space="preserve">25203345</t>
  </si>
  <si>
    <t xml:space="preserve">Feu de camp basique</t>
  </si>
  <si>
    <t xml:space="preserve">255075</t>
  </si>
  <si>
    <t xml:space="preserve">Thé de sérénité</t>
  </si>
  <si>
    <t xml:space="preserve">25254565</t>
  </si>
  <si>
    <t xml:space="preserve">Bouchées à la chair de pinces</t>
  </si>
  <si>
    <t xml:space="preserve">35304355</t>
  </si>
  <si>
    <t xml:space="preserve">Délicieuses bouchées au raptor</t>
  </si>
  <si>
    <t xml:space="preserve">25355575</t>
  </si>
  <si>
    <t xml:space="preserve">Oeufs aux herbes</t>
  </si>
  <si>
    <t xml:space="preserve">456585</t>
  </si>
  <si>
    <t xml:space="preserve">Viande de loup grillée</t>
  </si>
  <si>
    <t xml:space="preserve">Viande de sanglier rôtie</t>
  </si>
  <si>
    <t xml:space="preserve">Aile de chauve-souris croustillante</t>
  </si>
  <si>
    <t xml:space="preserve">1456585</t>
  </si>
  <si>
    <t xml:space="preserve">Biscuit de pain d'épice</t>
  </si>
  <si>
    <t xml:space="preserve">Goujon brillant</t>
  </si>
  <si>
    <t xml:space="preserve">Maquereau ombré</t>
  </si>
  <si>
    <t xml:space="preserve">Viande de loup épicée</t>
  </si>
  <si>
    <t xml:space="preserve">507090</t>
  </si>
  <si>
    <t xml:space="preserve">Kébab d'araignée kaldorei</t>
  </si>
  <si>
    <t xml:space="preserve">10507090</t>
  </si>
  <si>
    <t xml:space="preserve">Surprise du scorpide</t>
  </si>
  <si>
    <t xml:space="preserve">206080100</t>
  </si>
  <si>
    <t xml:space="preserve">Côtes de sanglier à la bière</t>
  </si>
  <si>
    <t xml:space="preserve">256080100</t>
  </si>
  <si>
    <t xml:space="preserve">Lait de poule</t>
  </si>
  <si>
    <t xml:space="preserve">357595115</t>
  </si>
  <si>
    <t xml:space="preserve">Viande de kodo rôtie</t>
  </si>
  <si>
    <t xml:space="preserve">Omelette de petit déjeuner</t>
  </si>
  <si>
    <t xml:space="preserve">757593110</t>
  </si>
  <si>
    <t xml:space="preserve">Viande d'ours fumée</t>
  </si>
  <si>
    <t xml:space="preserve">4080100120</t>
  </si>
  <si>
    <t xml:space="preserve">Frappé gélatineux</t>
  </si>
  <si>
    <t xml:space="preserve">100859095</t>
  </si>
  <si>
    <t xml:space="preserve">Thé royal</t>
  </si>
  <si>
    <t xml:space="preserve">10085105125</t>
  </si>
  <si>
    <t xml:space="preserve">Palourdes bouillies</t>
  </si>
  <si>
    <t xml:space="preserve">90110130</t>
  </si>
  <si>
    <t xml:space="preserve">Steak de coyote</t>
  </si>
  <si>
    <t xml:space="preserve">Brouet de trotteur</t>
  </si>
  <si>
    <t xml:space="preserve">5090110130</t>
  </si>
  <si>
    <t xml:space="preserve">Délice de furie du loch</t>
  </si>
  <si>
    <t xml:space="preserve">Filet de furie</t>
  </si>
  <si>
    <t xml:space="preserve">Lutjan à longue mâchoire</t>
  </si>
  <si>
    <t xml:space="preserve">Thon arc-en-ciel</t>
  </si>
  <si>
    <t xml:space="preserve">Tourte au foie de Broche-tripes</t>
  </si>
  <si>
    <t xml:space="preserve">Kit de feu de camp de compagnon</t>
  </si>
  <si>
    <t xml:space="preserve">9090115140</t>
  </si>
  <si>
    <t xml:space="preserve">Boudin</t>
  </si>
  <si>
    <t xml:space="preserve">60100120140</t>
  </si>
  <si>
    <t xml:space="preserve">Thé de chardon</t>
  </si>
  <si>
    <t xml:space="preserve">Beignet de crabe</t>
  </si>
  <si>
    <t xml:space="preserve">115135155</t>
  </si>
  <si>
    <t xml:space="preserve">Émincé de raptor aux deux épices</t>
  </si>
  <si>
    <t xml:space="preserve">75115133150</t>
  </si>
  <si>
    <t xml:space="preserve">Ragoût de la marche de l'Ouest</t>
  </si>
  <si>
    <t xml:space="preserve">75115135155</t>
  </si>
  <si>
    <t xml:space="preserve">Côtes de porc séchées</t>
  </si>
  <si>
    <t xml:space="preserve">120140160</t>
  </si>
  <si>
    <t xml:space="preserve">Sagerelle fumée</t>
  </si>
  <si>
    <t xml:space="preserve">80120140160</t>
  </si>
  <si>
    <t xml:space="preserve">Steak de crocilisque</t>
  </si>
  <si>
    <t xml:space="preserve">Délice de déviant</t>
  </si>
  <si>
    <t xml:space="preserve">85125145165</t>
  </si>
  <si>
    <t xml:space="preserve">Délice de fantaileron</t>
  </si>
  <si>
    <t xml:space="preserve">Pince de crabe farcie</t>
  </si>
  <si>
    <t xml:space="preserve">Brouet de rat</t>
  </si>
  <si>
    <t xml:space="preserve">90130150170</t>
  </si>
  <si>
    <t xml:space="preserve">Soupe aux ailerons de murloc</t>
  </si>
  <si>
    <t xml:space="preserve">Soupe de palourdes</t>
  </si>
  <si>
    <t xml:space="preserve">Côtes de porc aux herbes</t>
  </si>
  <si>
    <t xml:space="preserve">110130150170</t>
  </si>
  <si>
    <t xml:space="preserve">Goulash des Carmines</t>
  </si>
  <si>
    <t xml:space="preserve">100135155175</t>
  </si>
  <si>
    <t xml:space="preserve">Frppl mrrggl</t>
  </si>
  <si>
    <t xml:space="preserve">125135140145</t>
  </si>
  <si>
    <t xml:space="preserve">Kébab de loup assaisonné</t>
  </si>
  <si>
    <t xml:space="preserve">100140160180</t>
  </si>
  <si>
    <t xml:space="preserve">Poisson-chat moustachu</t>
  </si>
  <si>
    <t xml:space="preserve">Queue de lézard croquante</t>
  </si>
  <si>
    <t xml:space="preserve">Festin de Macaron</t>
  </si>
  <si>
    <t xml:space="preserve">140140143145</t>
  </si>
  <si>
    <t xml:space="preserve">Steak de grand ours</t>
  </si>
  <si>
    <t xml:space="preserve">110150170190</t>
  </si>
  <si>
    <t xml:space="preserve">Tourte d'araignée fondante</t>
  </si>
  <si>
    <t xml:space="preserve">Venaison dégraissée</t>
  </si>
  <si>
    <t xml:space="preserve">Thé aux racines</t>
  </si>
  <si>
    <t xml:space="preserve">125155170185</t>
  </si>
  <si>
    <t xml:space="preserve">Gombo de crocilisque</t>
  </si>
  <si>
    <t xml:space="preserve">120160180200</t>
  </si>
  <si>
    <t xml:space="preserve">Ragoût épais de crocilisque</t>
  </si>
  <si>
    <t xml:space="preserve">150160180200</t>
  </si>
  <si>
    <t xml:space="preserve">Palourdes gobelines</t>
  </si>
  <si>
    <t xml:space="preserve">165185205</t>
  </si>
  <si>
    <t xml:space="preserve">Steak de loup</t>
  </si>
  <si>
    <t xml:space="preserve">125165185205</t>
  </si>
  <si>
    <t xml:space="preserve">Omelette au goût étrange</t>
  </si>
  <si>
    <t xml:space="preserve">130170190210</t>
  </si>
  <si>
    <t xml:space="preserve">Côtelettes de lion épicées</t>
  </si>
  <si>
    <t xml:space="preserve">125175195215</t>
  </si>
  <si>
    <t xml:space="preserve">Steak de frappe rapide</t>
  </si>
  <si>
    <t xml:space="preserve">275175190205</t>
  </si>
  <si>
    <t xml:space="preserve">Frappé calcifié</t>
  </si>
  <si>
    <t xml:space="preserve">180185190195</t>
  </si>
  <si>
    <t xml:space="preserve">Côtelettes de raptor bouillantes</t>
  </si>
  <si>
    <t xml:space="preserve">275185200215</t>
  </si>
  <si>
    <t xml:space="preserve">Délicieux steak de lion</t>
  </si>
  <si>
    <t xml:space="preserve">150190210230</t>
  </si>
  <si>
    <t xml:space="preserve">Morue rochécaille</t>
  </si>
  <si>
    <t xml:space="preserve">175190210230</t>
  </si>
  <si>
    <t xml:space="preserve">Oeufs brouillés géants</t>
  </si>
  <si>
    <t xml:space="preserve">175195208220</t>
  </si>
  <si>
    <t xml:space="preserve">Thé de triage</t>
  </si>
  <si>
    <t xml:space="preserve">180195215235</t>
  </si>
  <si>
    <t xml:space="preserve">Poitrine d'ours</t>
  </si>
  <si>
    <t xml:space="preserve">175200210220</t>
  </si>
  <si>
    <t xml:space="preserve">Bonne vieille viande de brochepâle</t>
  </si>
  <si>
    <t xml:space="preserve">185200215230</t>
  </si>
  <si>
    <t xml:space="preserve">Kit de feu de camp de spécialiste</t>
  </si>
  <si>
    <t xml:space="preserve">200200213225</t>
  </si>
  <si>
    <t xml:space="preserve">Linguines aux palourdes</t>
  </si>
  <si>
    <t xml:space="preserve">275200220240</t>
  </si>
  <si>
    <t xml:space="preserve">Flétan épineux</t>
  </si>
  <si>
    <t xml:space="preserve">210215220</t>
  </si>
  <si>
    <t xml:space="preserve">Thé de dorépine</t>
  </si>
  <si>
    <t xml:space="preserve">215235255</t>
  </si>
  <si>
    <t xml:space="preserve">Aile de busard grillée</t>
  </si>
  <si>
    <t xml:space="preserve">175215235255</t>
  </si>
  <si>
    <t xml:space="preserve">Ardeur de palourde géante</t>
  </si>
  <si>
    <t xml:space="preserve">Bisque de tortue apaisante</t>
  </si>
  <si>
    <t xml:space="preserve">Côtes de loup épicées</t>
  </si>
  <si>
    <t xml:space="preserve">Délice de sagerelle</t>
  </si>
  <si>
    <t xml:space="preserve">Ragoût de la jungle</t>
  </si>
  <si>
    <t xml:space="preserve">Ragoût mystère</t>
  </si>
  <si>
    <t xml:space="preserve">Rôti de raptor</t>
  </si>
  <si>
    <t xml:space="preserve">Tourte surprise</t>
  </si>
  <si>
    <t xml:space="preserve">Truite tête-mithril</t>
  </si>
  <si>
    <t xml:space="preserve">Frappé épicé</t>
  </si>
  <si>
    <t xml:space="preserve">200215220225</t>
  </si>
  <si>
    <t xml:space="preserve">Ragoût de fruits de mer saumâtre</t>
  </si>
  <si>
    <t xml:space="preserve">200220230240</t>
  </si>
  <si>
    <t xml:space="preserve">Thé du soleil</t>
  </si>
  <si>
    <t xml:space="preserve">200220235250</t>
  </si>
  <si>
    <t xml:space="preserve">Mini-burgers de cerf savoureux</t>
  </si>
  <si>
    <t xml:space="preserve">225225240255</t>
  </si>
  <si>
    <t xml:space="preserve">Paupiette de raptor</t>
  </si>
  <si>
    <t xml:space="preserve">225225238250</t>
  </si>
  <si>
    <t xml:space="preserve">Saucisse d'araignée</t>
  </si>
  <si>
    <t xml:space="preserve">240260280</t>
  </si>
  <si>
    <t xml:space="preserve">Chili de souffle de dragon</t>
  </si>
  <si>
    <t xml:space="preserve">200240260280</t>
  </si>
  <si>
    <t xml:space="preserve">Ragoût épais de kodo</t>
  </si>
  <si>
    <t xml:space="preserve">Frappé pernicieux</t>
  </si>
  <si>
    <t xml:space="preserve">250240245250</t>
  </si>
  <si>
    <t xml:space="preserve">Poisson cuirassé</t>
  </si>
  <si>
    <t xml:space="preserve">225245250255</t>
  </si>
  <si>
    <t xml:space="preserve">Filet de flanc</t>
  </si>
  <si>
    <t xml:space="preserve">250260270280</t>
  </si>
  <si>
    <t xml:space="preserve">Omelette du Lever de soleil</t>
  </si>
  <si>
    <t xml:space="preserve">Steak de rôdeur</t>
  </si>
  <si>
    <t xml:space="preserve">Thé des sages</t>
  </si>
  <si>
    <t xml:space="preserve">250260275290</t>
  </si>
  <si>
    <t xml:space="preserve">Effiloché de raptor préhistorique</t>
  </si>
  <si>
    <t xml:space="preserve">275260280300</t>
  </si>
  <si>
    <t xml:space="preserve">Ragoût de tortue savoureux</t>
  </si>
  <si>
    <t xml:space="preserve">Steak de cerf fumant</t>
  </si>
  <si>
    <t xml:space="preserve">Barracuda luisant cuit</t>
  </si>
  <si>
    <t xml:space="preserve">225265285305</t>
  </si>
  <si>
    <t xml:space="preserve">Chili de crabe épicé</t>
  </si>
  <si>
    <t xml:space="preserve">Filet de rouget</t>
  </si>
  <si>
    <t xml:space="preserve">Jaune-queue tacheté</t>
  </si>
  <si>
    <t xml:space="preserve">Omelette monstrueuse</t>
  </si>
  <si>
    <t xml:space="preserve">Soupe de palourdes d'Undermine</t>
  </si>
  <si>
    <t xml:space="preserve">Steak de loup tendre</t>
  </si>
  <si>
    <t xml:space="preserve">Calmar grillé</t>
  </si>
  <si>
    <t xml:space="preserve">240280300320</t>
  </si>
  <si>
    <t xml:space="preserve">Perche fumée</t>
  </si>
  <si>
    <t xml:space="preserve">Soupe de lutjan nagenuit</t>
  </si>
  <si>
    <t xml:space="preserve">250290310330</t>
  </si>
  <si>
    <t xml:space="preserve">Saumon solécaille poché</t>
  </si>
  <si>
    <t xml:space="preserve">Ragoût de homard</t>
  </si>
  <si>
    <t xml:space="preserve">275315335355</t>
  </si>
  <si>
    <t xml:space="preserve">Steak de barracuda</t>
  </si>
  <si>
    <t xml:space="preserve">Pain de saumon</t>
  </si>
  <si>
    <t xml:space="preserve">Courante-surprise</t>
  </si>
  <si>
    <t xml:space="preserve">Boulettes fumées du désert</t>
  </si>
  <si>
    <t xml:space="preserve">285325345365</t>
  </si>
  <si>
    <t xml:space="preserve">Pyro-côtelettes de chimaerok à la Dirge</t>
  </si>
  <si>
    <t xml:space="preserve">300325345365</t>
  </si>
  <si>
    <t xml:space="preserve">Quête n°</t>
  </si>
  <si>
    <t xml:space="preserve">Rang requis</t>
  </si>
  <si>
    <t xml:space="preserve">Compétence début</t>
  </si>
  <si>
    <t xml:space="preserve">Compétence fin</t>
  </si>
  <si>
    <t xml:space="preserve">Couleur</t>
  </si>
  <si>
    <t xml:space="preserve">Chance par craft</t>
  </si>
  <si>
    <t xml:space="preserve">Nb de crafts</t>
  </si>
  <si>
    <t xml:space="preserve">Obtention de la recette</t>
  </si>
  <si>
    <t xml:space="preserve">Intitulé de quête</t>
  </si>
  <si>
    <t xml:space="preserve">Ingrédients sans source</t>
  </si>
  <si>
    <t xml:space="preserve">Détail d'obtention (QuestieDB / web)</t>
  </si>
  <si>
    <t xml:space="preserve">Abigail Shiel (Clairières de Tirisfal, 61 / 52,4) - relevé en jeu.</t>
  </si>
  <si>
    <t xml:space="preserve">Andrew Hilbert (Forêt des Pins argentés, 43,2 / 40,7) - Recette : Viande d'ours fumée, compétence 40 - QuestieDB, à confirmer en jeu.</t>
  </si>
  <si>
    <t xml:space="preserve">Maître de cuisine, Horde : Zamja (Orgrimmar 57,4 / 54), Eunice Burch (Fossoyeuse 62,1 / 44,9), Aska Mistrunner (Pitons-du-Tonnerre 50,7 / 53,1). Niveau orange : 110 (QuestieDB) contre 80 (hypothèse) - à vérifier en jeu.</t>
  </si>
  <si>
    <t xml:space="preserve">Aucune source Horde connue dans QuestieDB (vendeur Kendor Kabonka à Hurlevent et quête 471 : Alliance). Piste Horde : Côtelettes de lion épicées (Zargh, Les Tarides 52,6 / 29,8, compétence 125) - à évaluer.</t>
  </si>
  <si>
    <t xml:space="preserve">Aucune source Horde connue dans QuestieDB (récompense de la quête 564 « Un problème très coûteux », Alliance). Piste Horde : Côtelettes de lion épicées (Zargh, Les Tarides) - à évaluer.</t>
  </si>
  <si>
    <t xml:space="preserve">Recette propre à Forever : source inconnue.</t>
  </si>
  <si>
    <t xml:space="preserve">Maître de cuisine (voir quête 3 pour les maîtres Horde). Niveau orange 200 (QuestieDB).</t>
  </si>
  <si>
    <t xml:space="preserve">Kelsey Yance (Vallée de Strangleronce, 28,2 / 74,3) - Recette : Barracuda luisant cuit, compétence 225 - QuestieDB, à confirmer en jeu.</t>
  </si>
  <si>
    <t xml:space="preserve">Voir quête 8.</t>
  </si>
  <si>
    <t xml:space="preserve">id_ingrédient</t>
  </si>
  <si>
    <t xml:space="preserve">Ingrédient</t>
  </si>
  <si>
    <t xml:space="preserve">Qté par craft</t>
  </si>
  <si>
    <t xml:space="preserve">Total à récolter</t>
  </si>
  <si>
    <t xml:space="preserve">Type de source</t>
  </si>
  <si>
    <t xml:space="preserve">Zone (1re source)</t>
  </si>
  <si>
    <t xml:space="preserve">Statut source</t>
  </si>
  <si>
    <t xml:space="preserve">Aile de chauve-souris charnue</t>
  </si>
  <si>
    <t xml:space="preserve">Epices douces</t>
  </si>
  <si>
    <t xml:space="preserve">Viande d'ours</t>
  </si>
  <si>
    <t xml:space="preserve">Côtes de sanglier</t>
  </si>
  <si>
    <t xml:space="preserve">Viande de crocilisque tendre</t>
  </si>
  <si>
    <t xml:space="preserve">Epices fortes</t>
  </si>
  <si>
    <t xml:space="preserve">Viande de lion</t>
  </si>
  <si>
    <t xml:space="preserve">Epices apaisantes</t>
  </si>
  <si>
    <t xml:space="preserve">Morceau de viande de sanglier</t>
  </si>
  <si>
    <t xml:space="preserve">Viande d'araignée blanche</t>
  </si>
  <si>
    <t xml:space="preserve">Barracuda luisant cru</t>
  </si>
  <si>
    <t xml:space="preserve">Hypothèses du plan de progression</t>
  </si>
  <si>
    <t xml:space="preserve">Couleur de la recette</t>
  </si>
  <si>
    <t xml:space="preserve">Chance de gain de compétence par craft</t>
  </si>
  <si>
    <t xml:space="preserve">Les chances (100 % / 75 % / 25 %) sont des valeurs de référence de WoW Classic, pas des valeurs confirmées pour Forever : modifiables dans les cellules jaunes.</t>
  </si>
  <si>
    <t xml:space="preserve">La source dit seulement : orange = toujours, jaune = souvent, vert = rarement, gris = jamais.</t>
  </si>
  <si>
    <t xml:space="preserve">Règle du plan : à chaque point de compétence, choisir la recette de meilleure couleur (orange &gt; jaune &gt; vert) ; à couleur égale, privilégier celle dont tous les ingrédients ont une source renseignée, puis la plus récemment débloquée (progression naturelle, ingrédients de niveau adapté), puis celle qui reste utile le plus longtemps.</t>
  </si>
  <si>
    <t xml:space="preserve">Recettes apprises chez un maître : la source ne donne pas le niveau orange. Hypothèse : orange = jaune − 40 (écart observé sur plusieurs recettes Classic, à confirmer en jeu).</t>
  </si>
  <si>
    <t xml:space="preserve">Cible du plan : compétence 300. Les kits de feu de camp sont exclus. Les 12 recettes « À vérifier » sont exclues.</t>
  </si>
  <si>
    <t xml:space="preserve">Non pris en compte : prix, coût des recettes vendues, niveau du personnage requis, disponibilité réelle des recettes de vendeur ou de quête.</t>
  </si>
  <si>
    <t xml:space="preserve">Nombre de crafts = arrondi supérieur de (compétence fin − début) / chance.</t>
  </si>
  <si>
    <t xml:space="preserve">Quantité</t>
  </si>
  <si>
    <t xml:space="preserve">Bois simple</t>
  </si>
  <si>
    <t xml:space="preserve">Eau de source</t>
  </si>
  <si>
    <t xml:space="preserve">Petite glande à venin</t>
  </si>
  <si>
    <t xml:space="preserve">Petit oeuf</t>
  </si>
  <si>
    <t xml:space="preserve">Farine simple</t>
  </si>
  <si>
    <t xml:space="preserve">Pacifique</t>
  </si>
  <si>
    <t xml:space="preserve">Pince de clampant</t>
  </si>
  <si>
    <t xml:space="preserve">Oeuf de raptor</t>
  </si>
  <si>
    <t xml:space="preserve">Viande de loup maigre</t>
  </si>
  <si>
    <t xml:space="preserve">Epices spéciales</t>
  </si>
  <si>
    <t xml:space="preserve">Goujon brillant cru</t>
  </si>
  <si>
    <t xml:space="preserve">Maquereau ombré cru</t>
  </si>
  <si>
    <t xml:space="preserve">Petite patte d'araignée</t>
  </si>
  <si>
    <t xml:space="preserve">Dard de scorpide</t>
  </si>
  <si>
    <t xml:space="preserve">Côtes de sanglier des rochers</t>
  </si>
  <si>
    <t xml:space="preserve">Bière au malt Rhapsody</t>
  </si>
  <si>
    <t xml:space="preserve">Lait glacé</t>
  </si>
  <si>
    <t xml:space="preserve">Eau de vie spéciale</t>
  </si>
  <si>
    <t xml:space="preserve">Viande de kodo</t>
  </si>
  <si>
    <t xml:space="preserve">Ichor d'araignée</t>
  </si>
  <si>
    <t xml:space="preserve">Mage royal</t>
  </si>
  <si>
    <t xml:space="preserve">Chair de palourde</t>
  </si>
  <si>
    <t xml:space="preserve">Viande de coyote</t>
  </si>
  <si>
    <t xml:space="preserve">Viande de trotteur</t>
  </si>
  <si>
    <t xml:space="preserve">Pomme rouge brillante</t>
  </si>
  <si>
    <t xml:space="preserve">Furie du loch crue</t>
  </si>
  <si>
    <t xml:space="preserve">Chair tendre de Furie</t>
  </si>
  <si>
    <t xml:space="preserve">Lutjan à longue mâchoire cru</t>
  </si>
  <si>
    <t xml:space="preserve">Thon arc-en-ciel cru</t>
  </si>
  <si>
    <t xml:space="preserve">Foie de Broche-tripes</t>
  </si>
  <si>
    <t xml:space="preserve">Bois d'étoile</t>
  </si>
  <si>
    <t xml:space="preserve">Tripes de sanglier</t>
  </si>
  <si>
    <t xml:space="preserve">Chardonnier</t>
  </si>
  <si>
    <t xml:space="preserve">Chair de clampant</t>
  </si>
  <si>
    <t xml:space="preserve">Chair de raptor</t>
  </si>
  <si>
    <t xml:space="preserve">Viande filandreuse de vautour</t>
  </si>
  <si>
    <t xml:space="preserve">Oeil de murloc</t>
  </si>
  <si>
    <t xml:space="preserve">Groin de Broche-tripes</t>
  </si>
  <si>
    <t xml:space="preserve">Sagerelle crue</t>
  </si>
  <si>
    <t xml:space="preserve">Viande de crocilisque</t>
  </si>
  <si>
    <t xml:space="preserve">Poisson déviant</t>
  </si>
  <si>
    <t xml:space="preserve">Fantaileron</t>
  </si>
  <si>
    <t xml:space="preserve">Rat fouisseur</t>
  </si>
  <si>
    <t xml:space="preserve">Aileron de murloc</t>
  </si>
  <si>
    <t xml:space="preserve">Chair croustillante d'araignée</t>
  </si>
  <si>
    <t xml:space="preserve">Viande de condor coriace</t>
  </si>
  <si>
    <t xml:space="preserve">Jus de melon</t>
  </si>
  <si>
    <t xml:space="preserve">Poisson-chat moustachu cru</t>
  </si>
  <si>
    <t xml:space="preserve">Queue de lézard-tonnerre</t>
  </si>
  <si>
    <t xml:space="preserve">Viande mystère</t>
  </si>
  <si>
    <t xml:space="preserve">Viande de kodo épaisse</t>
  </si>
  <si>
    <t xml:space="preserve">Viande de grand ours</t>
  </si>
  <si>
    <t xml:space="preserve">Patte d'araignée fondante</t>
  </si>
  <si>
    <t xml:space="preserve">Viande de cerf</t>
  </si>
  <si>
    <t xml:space="preserve">Vietérule</t>
  </si>
  <si>
    <t xml:space="preserve">Chair de palourde relevée</t>
  </si>
  <si>
    <t xml:space="preserve">Viande de tigre</t>
  </si>
  <si>
    <t xml:space="preserve">Nectar sucré</t>
  </si>
  <si>
    <t xml:space="preserve">Grand croc</t>
  </si>
  <si>
    <t xml:space="preserve">Morue rochécaille crue</t>
  </si>
  <si>
    <t xml:space="preserve">Oeuf géant</t>
  </si>
  <si>
    <t xml:space="preserve">Pâlerette</t>
  </si>
  <si>
    <t xml:space="preserve">Bûches épaisses</t>
  </si>
  <si>
    <t xml:space="preserve">Chair de palourde piquante</t>
  </si>
  <si>
    <t xml:space="preserve">Flétan épineux cru</t>
  </si>
  <si>
    <t xml:space="preserve">Dorépine</t>
  </si>
  <si>
    <t xml:space="preserve">Aile de busard</t>
  </si>
  <si>
    <t xml:space="preserve">Chair de palourde géante</t>
  </si>
  <si>
    <t xml:space="preserve">Viande de tortue</t>
  </si>
  <si>
    <t xml:space="preserve">Viande de loup rouge</t>
  </si>
  <si>
    <t xml:space="preserve">Grande sagerelle crue</t>
  </si>
  <si>
    <t xml:space="preserve">Outre de bière naine</t>
  </si>
  <si>
    <t xml:space="preserve">Truite tête-mithril crue</t>
  </si>
  <si>
    <t xml:space="preserve">Jus de baie lunaire</t>
  </si>
  <si>
    <t xml:space="preserve">Petit sac de flammes</t>
  </si>
  <si>
    <t xml:space="preserve">Viande de crabe tendre</t>
  </si>
  <si>
    <t xml:space="preserve">Soleillette</t>
  </si>
  <si>
    <t xml:space="preserve">Soupe de rosée matinale</t>
  </si>
  <si>
    <t xml:space="preserve">Serre cruelle</t>
  </si>
  <si>
    <t xml:space="preserve">Poisson cuirassé cru</t>
  </si>
  <si>
    <t xml:space="preserve">Sels sacrés</t>
  </si>
  <si>
    <t xml:space="preserve">Sauge-argent des montagnes</t>
  </si>
  <si>
    <t xml:space="preserve">Rouget cru</t>
  </si>
  <si>
    <t xml:space="preserve">Jaune-queue tacheté cru</t>
  </si>
  <si>
    <t xml:space="preserve">Viande de loup tendre</t>
  </si>
  <si>
    <t xml:space="preserve">Calmar hivernal</t>
  </si>
  <si>
    <t xml:space="preserve">Perche estivale crue</t>
  </si>
  <si>
    <t xml:space="preserve">Lutjan nagenuit cru</t>
  </si>
  <si>
    <t xml:space="preserve">Saumon solécaille cru</t>
  </si>
  <si>
    <t xml:space="preserve">Homard Pince-noire</t>
  </si>
  <si>
    <t xml:space="preserve">Grand barracuda cru</t>
  </si>
  <si>
    <t xml:space="preserve">Saumon Blanchécaille cru</t>
  </si>
  <si>
    <t xml:space="preserve">Racine de Courante</t>
  </si>
  <si>
    <t xml:space="preserve">Chair de ver des sables</t>
  </si>
  <si>
    <t xml:space="preserve">Carburant de fusée des gobelins</t>
  </si>
  <si>
    <t xml:space="preserve">Sel de Fonderoc</t>
  </si>
  <si>
    <t xml:space="preserve">Filet de chimaerok</t>
  </si>
  <si>
    <t xml:space="preserve">Nb recettes qui l'utilisent</t>
  </si>
  <si>
    <t xml:space="preserve">Quantité totale (toutes recettes)</t>
  </si>
  <si>
    <t xml:space="preserve">Nb sources renseignées</t>
  </si>
  <si>
    <t xml:space="preserve">Statut</t>
  </si>
  <si>
    <t xml:space="preserve">Besoin total (plan, compétence 300)</t>
  </si>
  <si>
    <t xml:space="preserve">Source (monstre / objet / pêche / PNJ)</t>
  </si>
  <si>
    <t xml:space="preserve">Zone (nom anglais)</t>
  </si>
  <si>
    <t xml:space="preserve">Niveau mob (min)</t>
  </si>
  <si>
    <t xml:space="preserve">Niveau mob (max)</t>
  </si>
  <si>
    <t xml:space="preserve">Taux de butin / de prise (%)</t>
  </si>
  <si>
    <t xml:space="preserve">Référence</t>
  </si>
  <si>
    <t xml:space="preserve">Notes</t>
  </si>
  <si>
    <t xml:space="preserve">Monstre</t>
  </si>
  <si>
    <t xml:space="preserve">Bears</t>
  </si>
  <si>
    <t xml:space="preserve">Darkshore</t>
  </si>
  <si>
    <t xml:space="preserve">Wowhead Classic — Best Cooking Ingredient Farming Spots (1.15.8)</t>
  </si>
  <si>
    <t xml:space="preserve">Pas les faux ours (druides) du sud de Silverpine</t>
  </si>
  <si>
    <t xml:space="preserve">Loch Modan</t>
  </si>
  <si>
    <t xml:space="preserve">Silverpine Forest</t>
  </si>
  <si>
    <t xml:space="preserve">Bears (Evil Grizzly à Hillsbrad)</t>
  </si>
  <si>
    <t xml:space="preserve">Ashenvale</t>
  </si>
  <si>
    <t xml:space="preserve">Hillsbrad Foothills</t>
  </si>
  <si>
    <t xml:space="preserve">Mountain Boar, Rugged Boar, Elder Mountain Boar</t>
  </si>
  <si>
    <t xml:space="preserve">Boars (Mountain Boar à Loch Modan ; Goretusk à Westfall)</t>
  </si>
  <si>
    <t xml:space="preserve">Westfall</t>
  </si>
  <si>
    <t xml:space="preserve">Carrion Birds (vautours)</t>
  </si>
  <si>
    <t xml:space="preserve">Arathi Highlands</t>
  </si>
  <si>
    <t xml:space="preserve">Tanaris : rocs plus dispersés</t>
  </si>
  <si>
    <t xml:space="preserve">Desolace</t>
  </si>
  <si>
    <t xml:space="preserve">Badlands</t>
  </si>
  <si>
    <t xml:space="preserve">Tanaris</t>
  </si>
  <si>
    <t xml:space="preserve">Boars</t>
  </si>
  <si>
    <t xml:space="preserve">Elwynn Forest</t>
  </si>
  <si>
    <t xml:space="preserve">Durotar</t>
  </si>
  <si>
    <t xml:space="preserve">Threshers, Crawlers, Murlocs, Naga (butin : petit coquillage)</t>
  </si>
  <si>
    <t xml:space="preserve">Aussi dans des coquilles géantes immergées (Barrens, Westfall, Ashenvale, Darkshore)</t>
  </si>
  <si>
    <t xml:space="preserve">Coyote, Coyote Packleader</t>
  </si>
  <si>
    <t xml:space="preserve">Crag Boars</t>
  </si>
  <si>
    <t xml:space="preserve">Dun Morogh</t>
  </si>
  <si>
    <t xml:space="preserve">Crawlers</t>
  </si>
  <si>
    <t xml:space="preserve">Ashenvale : côte de Zoram Strand</t>
  </si>
  <si>
    <t xml:space="preserve">Murloc Scavenger, Giant Tarantula</t>
  </si>
  <si>
    <t xml:space="preserve">Redridge Mountains</t>
  </si>
  <si>
    <t xml:space="preserve">Loch Crocolisk</t>
  </si>
  <si>
    <t xml:space="preserve">Dig Rat (entouré de nains de niveau 21-25)</t>
  </si>
  <si>
    <t xml:space="preserve">The Barrens</t>
  </si>
  <si>
    <t xml:space="preserve">Les rats sont niveau 1 ; niveau 21-25 = les nains autour de Bael Modan</t>
  </si>
  <si>
    <t xml:space="preserve">Objet du monde</t>
  </si>
  <si>
    <t xml:space="preserve">Giant Clam (coquille géante immergée, à l'ouest de Grom'gol)</t>
  </si>
  <si>
    <t xml:space="preserve">Stranglethorn Vale</t>
  </si>
  <si>
    <t xml:space="preserve">Murlocs Saltscale élites 35-37 à proximité</t>
  </si>
  <si>
    <t xml:space="preserve">Carrion Birds, Owls, Owlbeasts</t>
  </si>
  <si>
    <t xml:space="preserve">Winterspring</t>
  </si>
  <si>
    <t xml:space="preserve">Spiders (Green Recluse en majorité)</t>
  </si>
  <si>
    <t xml:space="preserve">Duskwood</t>
  </si>
  <si>
    <t xml:space="preserve">Goretusks</t>
  </si>
  <si>
    <t xml:space="preserve">Foie : Redridge et Westfall</t>
  </si>
  <si>
    <t xml:space="preserve">Goretusks (Westfall uniquement)</t>
  </si>
  <si>
    <t xml:space="preserve">Groin : Westfall uniquement</t>
  </si>
  <si>
    <t xml:space="preserve">Aged Kodo, Dying Kodo, Ancient Kodo</t>
  </si>
  <si>
    <t xml:space="preserve">Concentration au cimetière des kodos</t>
  </si>
  <si>
    <t xml:space="preserve">Kodos</t>
  </si>
  <si>
    <t xml:space="preserve">Mulgore</t>
  </si>
  <si>
    <t xml:space="preserve">Wolves</t>
  </si>
  <si>
    <t xml:space="preserve">Aussi sur les worgs de Shadowfang Keep</t>
  </si>
  <si>
    <t xml:space="preserve">Starving Mountain Lion</t>
  </si>
  <si>
    <t xml:space="preserve">Giant Nightbat, Vampiric Nightbat</t>
  </si>
  <si>
    <t xml:space="preserve">Tirisfal Glades</t>
  </si>
  <si>
    <t xml:space="preserve">Aussi à Shadowfang Keep</t>
  </si>
  <si>
    <t xml:space="preserve">Murlocs</t>
  </si>
  <si>
    <t xml:space="preserve">Taux de butin croissant avec le niveau du murloc</t>
  </si>
  <si>
    <t xml:space="preserve">Carrion Birds, Crocolisks, Hyenas, Scorpids (Dustwallow Crocolisk à Dustwallow)</t>
  </si>
  <si>
    <t xml:space="preserve">Tombe aussi dans de nombreuses autres zones</t>
  </si>
  <si>
    <t xml:space="preserve">Dustwallow Marsh</t>
  </si>
  <si>
    <t xml:space="preserve">Raptors</t>
  </si>
  <si>
    <t xml:space="preserve">Wetlands</t>
  </si>
  <si>
    <t xml:space="preserve">Un'Goro Crater</t>
  </si>
  <si>
    <t xml:space="preserve">Scorpids</t>
  </si>
  <si>
    <t xml:space="preserve">Owls, Carrion Birds, Owlbeasts</t>
  </si>
  <si>
    <t xml:space="preserve">Teldrassil</t>
  </si>
  <si>
    <t xml:space="preserve">Dragonkin whelps, Faerie Dragons</t>
  </si>
  <si>
    <t xml:space="preserve">Feralas</t>
  </si>
  <si>
    <t xml:space="preserve">Swamp of Sorrows</t>
  </si>
  <si>
    <t xml:space="preserve">Spiders (Webwood Lurker à Teldrassil)</t>
  </si>
  <si>
    <t xml:space="preserve">Coastal Frenzy</t>
  </si>
  <si>
    <t xml:space="preserve">Aussi Frenzies de Silverpine et des Barrens</t>
  </si>
  <si>
    <t xml:space="preserve">Cliff/Tree/Forest Lurkers (spiders)</t>
  </si>
  <si>
    <t xml:space="preserve">Stags</t>
  </si>
  <si>
    <t xml:space="preserve">Stonetalon Mountains</t>
  </si>
  <si>
    <t xml:space="preserve">Striders</t>
  </si>
  <si>
    <t xml:space="preserve">Fleshrippers (carrion birds)</t>
  </si>
  <si>
    <t xml:space="preserve">Wolves, Darkhounds</t>
  </si>
  <si>
    <t xml:space="preserve">Toutes zones 1-10 sauf Teldrassil et Durotar (liste partielle ici)</t>
  </si>
  <si>
    <t xml:space="preserve">Murlocs, Naga (butin : coquillage épais)</t>
  </si>
  <si>
    <t xml:space="preserve">Southern Sand Crab, Mud Crab, Giant Mud Crab</t>
  </si>
  <si>
    <t xml:space="preserve">Crocolisks</t>
  </si>
  <si>
    <t xml:space="preserve">Wolves, Hyenas</t>
  </si>
  <si>
    <t xml:space="preserve">The Hinterlands</t>
  </si>
  <si>
    <t xml:space="preserve">Thunderhawk-type lizards (Thunderhead/Lightning/Thunder Lizards)</t>
  </si>
  <si>
    <t xml:space="preserve">Tigers</t>
  </si>
  <si>
    <t xml:space="preserve">Tough Condor</t>
  </si>
  <si>
    <t xml:space="preserve">Snapjaw turtles</t>
  </si>
  <si>
    <t xml:space="preserve">Tombe sur toutes les tortues niveau 30-50</t>
  </si>
  <si>
    <t xml:space="preserve">Spiders</t>
  </si>
  <si>
    <t xml:space="preserve">Turtles, Threshers, Makrura, Murlocs, Naga (butin : coquille géante)</t>
  </si>
  <si>
    <t xml:space="preserve">Pêche</t>
  </si>
  <si>
    <t xml:space="preserve">Eaux douces</t>
  </si>
  <si>
    <t xml:space="preserve">All Faction Cities</t>
  </si>
  <si>
    <t xml:space="preserve">Wowhead Classic — Best Fishing Farming Spots (1.15.8)</t>
  </si>
  <si>
    <t xml:space="preserve">Eaux intérieures ; pêche min 55 (150 pour éviter les échappées) ; ~25% en ville, ~60% dans les zones 20-30 ; Stonetalon : 60% à l'étang central et à Sun Rock, 40% à Windshear Crag</t>
  </si>
  <si>
    <t xml:space="preserve">Eaux douces (étangs, rivières, lacs)</t>
  </si>
  <si>
    <t xml:space="preserve">All 1-10 zones</t>
  </si>
  <si>
    <t xml:space="preserve">Eaux intérieures ; pêche min 1 (25) ; Tirisfal Glades ~15% de moins (poissons malades)</t>
  </si>
  <si>
    <t xml:space="preserve">Capital cities</t>
  </si>
  <si>
    <t xml:space="preserve">Eaux côtières</t>
  </si>
  <si>
    <t xml:space="preserve">Côtier ; pêche min 1 (25) ; recommandé surtout à Durotar</t>
  </si>
  <si>
    <t xml:space="preserve">Villes capitales = le plus efficace ; aussi zones 1-10 et 20-30 avec un taux plus faible ; pêche min 1 (75)</t>
  </si>
  <si>
    <t xml:space="preserve">Côtier ; pêche min 1 (75)</t>
  </si>
  <si>
    <t xml:space="preserve">Eaux douces (lac)</t>
  </si>
  <si>
    <t xml:space="preserve">https://warcraft.wiki.gg/wiki/Fishing_items</t>
  </si>
  <si>
    <t xml:space="preserve">Source : warcraft.wiki.gg (liste des objets de pêche) ; taux non précisé</t>
  </si>
  <si>
    <t xml:space="preserve">Banc de poissons déviants (Deviate Fish School)</t>
  </si>
  <si>
    <t xml:space="preserve">Eaux intérieures ; dans les 3 oasis (Forgotten Pools, Stagnant Oasis, Lushwater Oasis), aussi Wailing Caverns ; pêche min 1 (75)</t>
  </si>
  <si>
    <t xml:space="preserve">Côtier ; pêche min 130 (225) ; spots sûrs : ilôts au sud de Grom'gol (STV), côte de Theramore (Dustwallow)</t>
  </si>
  <si>
    <t xml:space="preserve">Alterac Mountains</t>
  </si>
  <si>
    <t xml:space="preserve">Eaux intérieures ; pêche min 130 (225)</t>
  </si>
  <si>
    <t xml:space="preserve">Thousand Needles</t>
  </si>
  <si>
    <t xml:space="preserve">Azshara</t>
  </si>
  <si>
    <t xml:space="preserve">Côtier ; pêche min 205 (300) ; STV : seulement au large de Jaguero Isle ; 20% = meilleur taux de la source</t>
  </si>
  <si>
    <t xml:space="preserve">Eaux intérieures ; pêche min 205 (300) ; 40% = meilleur taux de la source</t>
  </si>
  <si>
    <t xml:space="preserve">Felwood</t>
  </si>
  <si>
    <t xml:space="preserve">Western Plaguelands</t>
  </si>
  <si>
    <t xml:space="preserve">Côtier ; pêche min 205 (300) ; STV : Jaguero Isle ; bon spot : Steamwheedle Port (Tanaris) ; 40% = meilleur taux de la source</t>
  </si>
  <si>
    <t xml:space="preserve">Banc de sagerelles (Sagefish School)</t>
  </si>
  <si>
    <t xml:space="preserve">Eaux intérieures ; Loch Modan et Silverpine dès pêche 1 (75) ; Ashenvale, Hillsbrad, Stonetalon dès 55 (150) ; absent des Barrens</t>
  </si>
  <si>
    <t xml:space="preserve">Banc de grandes sagerelles (Greater Sagefish School)</t>
  </si>
  <si>
    <t xml:space="preserve">Vendeur (événement)</t>
  </si>
  <si>
    <t xml:space="preserve">Marchands de la fête de l'Hiver (Holiday Spices)</t>
  </si>
  <si>
    <t xml:space="preserve">Warcraft Wiki — Holiday Spices (recettes de fête)</t>
  </si>
  <si>
    <t xml:space="preserve">Vendu uniquement pendant la fête de l'Hiver, pas chez les marchands de cuisine habituels ; PNJ à renseigner</t>
  </si>
  <si>
    <t xml:space="preserve">Vendeur</t>
  </si>
  <si>
    <t xml:space="preserve">Eleanor Rusk (4555), Thaddeus Webb (4617)</t>
  </si>
  <si>
    <t xml:space="preserve">Undercity</t>
  </si>
  <si>
    <t xml:space="preserve">Relevé en jeu (addon CuisineMarchands)</t>
  </si>
  <si>
    <t xml:space="preserve">2 marchand(s) relevé(s) en jeu ; détail dans l'onglet Marchands</t>
  </si>
  <si>
    <t xml:space="preserve">Mme Winters (2134)</t>
  </si>
  <si>
    <t xml:space="preserve">1 marchand(s) relevé(s) en jeu ; détail dans l'onglet Marchands</t>
  </si>
  <si>
    <t xml:space="preserve">Mme Winters (2134), Renée l'aubergiste (5688)</t>
  </si>
  <si>
    <t xml:space="preserve">Norman l'aubergiste (6741), Eleanor Rusk (4555)</t>
  </si>
  <si>
    <t xml:space="preserve">Felicia Doan (4775), Daniel Bartlett (4561)</t>
  </si>
  <si>
    <t xml:space="preserve">Abigail Shiel (2118)</t>
  </si>
  <si>
    <t xml:space="preserve">Types attendus : Monstre, Objet du monde, Pêche, Vendeur, Récolte, Autre. Cellules jaunes = lignes libres à remplir.</t>
  </si>
  <si>
    <t xml:space="preserve">Dredge Striker, Dredge Crusher</t>
  </si>
  <si>
    <t xml:space="preserve">Silithus</t>
  </si>
  <si>
    <t xml:space="preserve">QuestieDB (Classic Era)</t>
  </si>
  <si>
    <t xml:space="preserve">Taux moyen QuestieDB, à confirmer en jeu</t>
  </si>
  <si>
    <t xml:space="preserve">Land Walker, Cliff Giant</t>
  </si>
  <si>
    <t xml:space="preserve">Desert Rumbler, Desert Rager, Setis</t>
  </si>
  <si>
    <t xml:space="preserve">Arcane Chimaerok, Chimaerok, Chimaerok Devourer</t>
  </si>
  <si>
    <t xml:space="preserve">id_PNJ</t>
  </si>
  <si>
    <t xml:space="preserve">Marchand</t>
  </si>
  <si>
    <t xml:space="preserve">Zone (client FR)</t>
  </si>
  <si>
    <t xml:space="preserve">mapID</t>
  </si>
  <si>
    <t xml:space="preserve">X (%)</t>
  </si>
  <si>
    <t xml:space="preserve">Y (%)</t>
  </si>
  <si>
    <t xml:space="preserve">Mme Winters</t>
  </si>
  <si>
    <t xml:space="preserve">Clairières de Tirisfal</t>
  </si>
  <si>
    <t xml:space="preserve">Abigail Shiel</t>
  </si>
  <si>
    <t xml:space="preserve">Renée l'aubergiste</t>
  </si>
  <si>
    <t xml:space="preserve">La taverne des Pendus</t>
  </si>
  <si>
    <t xml:space="preserve">Norman l'aubergiste</t>
  </si>
  <si>
    <t xml:space="preserve">Fossoyeuse</t>
  </si>
  <si>
    <t xml:space="preserve">Eleanor Rusk</t>
  </si>
  <si>
    <t xml:space="preserve">Thaddeus Webb</t>
  </si>
  <si>
    <t xml:space="preserve">Felicia Doan</t>
  </si>
  <si>
    <t xml:space="preserve">Daniel Bartlett</t>
  </si>
  <si>
    <t xml:space="preserve">Position = celle du joueur pendant l'échange (approximative). Une ligne par marchand et par composant. mapID = identifiant de carte du jeu (plus fiable que le nom de zone, qui dépend de la langue).</t>
  </si>
  <si>
    <t xml:space="preserve">id_objet_recette</t>
  </si>
  <si>
    <t xml:space="preserve">Objet vendu</t>
  </si>
  <si>
    <t xml:space="preserve">id_recette (onglet Recettes)</t>
  </si>
  <si>
    <t xml:space="preserve">Recette cuisinée</t>
  </si>
  <si>
    <t xml:space="preserve">Origine</t>
  </si>
  <si>
    <t xml:space="preserve">Recette : Aile de chauve-souris croustillante</t>
  </si>
  <si>
    <t xml:space="preserve">Relevé en jeu (bêta)</t>
  </si>
  <si>
    <t xml:space="preserve">Martine Tramblay</t>
  </si>
  <si>
    <t xml:space="preserve">Recette : Goujon brillant</t>
  </si>
  <si>
    <t xml:space="preserve">Recette : Maquereau ombré</t>
  </si>
  <si>
    <t xml:space="preserve">Andrew Hilbert</t>
  </si>
  <si>
    <t xml:space="preserve">Forêt des Pins argentés</t>
  </si>
  <si>
    <t xml:space="preserve">Recette : Viande d'ours fumée</t>
  </si>
  <si>
    <t xml:space="preserve">Web (QuestieDB, Classic), à confirmer en jeu : id de l'objet recette et position importés de QuestieDB</t>
  </si>
  <si>
    <t xml:space="preserve">Kelsey Yance</t>
  </si>
  <si>
    <t xml:space="preserve">Vallée de Strangleronce</t>
  </si>
  <si>
    <t xml:space="preserve">Recette : Barracuda luisant cuit</t>
  </si>
  <si>
    <t xml:space="preserve">Position = celle du joueur pendant l'échange (approximative). Une ligne par recette vendue. Cellules jaune clair = position non relevée.</t>
  </si>
  <si>
    <t xml:space="preserve">Rang</t>
  </si>
  <si>
    <t xml:space="preserve">Compétence min</t>
  </si>
  <si>
    <t xml:space="preserve">Compétence max</t>
  </si>
  <si>
    <t xml:space="preserve">Niveau perso requis</t>
  </si>
  <si>
    <t xml:space="preserve">Remarque</t>
  </si>
  <si>
    <t xml:space="preserve">Apprenti</t>
  </si>
  <si>
    <t xml:space="preserve">Aucun niveau requis dans la bêta d'après le guide source (apprentissage possible dès la création)</t>
  </si>
  <si>
    <t xml:space="preserve">Compagnon</t>
  </si>
  <si>
    <t xml:space="preserve">Requiert 50 en Cuisine et niveau 10 (guide source)</t>
  </si>
  <si>
    <t xml:space="preserve">Expert</t>
  </si>
  <si>
    <t xml:space="preserve">Niveau perso requis non récupéré</t>
  </si>
  <si>
    <t xml:space="preserve">Artisan</t>
  </si>
  <si>
    <t xml:space="preserve">Non testé par l'auteur du guide (plafond de niveau de la bêta) ; le jeu compte des recettes jusqu'à 365</t>
  </si>
  <si>
    <t xml:space="preserve">Donnée</t>
  </si>
  <si>
    <t xml:space="preserve">Source</t>
  </si>
  <si>
    <t xml:space="preserve">URL</t>
  </si>
  <si>
    <t xml:space="preserve">Date de consultation</t>
  </si>
  <si>
    <t xml:space="preserve">Recettes, composants, niveaux de couleur</t>
  </si>
  <si>
    <t xml:space="preserve">SeeMeta — Recettes Cuisine WoW Forever (bêta 1.60.1)</t>
  </si>
  <si>
    <t xml:space="preserve">https://seemeta.com/fr/wow-forever/professions/cooking</t>
  </si>
  <si>
    <t xml:space="preserve">2026-10-07</t>
  </si>
  <si>
    <t xml:space="preserve">Rangs de métier, niveaux requis</t>
  </si>
  <si>
    <t xml:space="preserve">WoW Professions — Cooking Leveling Guide 1-300</t>
  </si>
  <si>
    <t xml:space="preserve">https://www.wow-professions.com/forever/cooking-leveling-guide</t>
  </si>
  <si>
    <t xml:space="preserve">Smoothies (vendeurs de l'Azeroth Commerce Authority)</t>
  </si>
  <si>
    <t xml:space="preserve">Warcraft Tavern — New Cooking Recipes</t>
  </si>
  <si>
    <t xml:space="preserve">https://www.warcrafttavern.com/forever/news/new-cooking-recipes-for-world-of-warcraft-forever/</t>
  </si>
  <si>
    <t xml:space="preserve">Zones, niveaux et monstres par ingrédient</t>
  </si>
  <si>
    <t xml:space="preserve">Wowhead Classic — Best Cooking Ingredient Farming Spots (1.15.8, màj 2024)</t>
  </si>
  <si>
    <t xml:space="preserve">https://www.wowhead.com/classic/guide/best-cooking-meat-farming-locations-classic-wow</t>
  </si>
  <si>
    <t xml:space="preserve">Zones de pêche, compétence requise, taux de prise</t>
  </si>
  <si>
    <t xml:space="preserve">Wowhead Classic — Best Fishing Farming Spots (1.15.8, màj 2025)</t>
  </si>
  <si>
    <t xml:space="preserve">https://www.wowhead.com/classic/guide/best-fishing-pools-farming-locations-classic-wow</t>
  </si>
  <si>
    <t xml:space="preserve">Furie du loch crue (Loch Modan)</t>
  </si>
  <si>
    <t xml:space="preserve">Warcraft Wiki — Fishing items</t>
  </si>
  <si>
    <t xml:space="preserve">Marchands de composants (relevés en jeu)</t>
  </si>
  <si>
    <t xml:space="preserve">Addon CuisineMarchands, test dans les Clairières de Tirisfal (bêta)</t>
  </si>
  <si>
    <t xml:space="preserve">Fichier SavedVariables CuisineMarchands.lua</t>
  </si>
  <si>
    <t xml:space="preserve">Épices vendues par les marchands de cuisine</t>
  </si>
  <si>
    <t xml:space="preserve">Warcraft Tavern — Cooking guide Forever</t>
  </si>
  <si>
    <t xml:space="preserve">https://www.warcrafttavern.com/forever/guides/cooking/</t>
  </si>
  <si>
    <t xml:space="preserve">Marchands et recettes vendues (Classic, à confirmer en jeu)</t>
  </si>
  <si>
    <t xml:space="preserve">Warcraft Wiki — pages des PNJ et listes de recettes de cuisine</t>
  </si>
  <si>
    <t xml:space="preserve">https://warcraft.wiki.gg/wiki/List_of_Apprentice_Cooking_Recipes</t>
  </si>
  <si>
    <t xml:space="preserve">2026-10-08</t>
  </si>
  <si>
    <t xml:space="preserve">Maîtres de cuisine et coordonnées</t>
  </si>
  <si>
    <t xml:space="preserve">Overgear et Icy Veins — guides de cuisine WoW Classic</t>
  </si>
  <si>
    <t xml:space="preserve">https://overgear.com/guides/wow-classic/cooking/</t>
  </si>
  <si>
    <t xml:space="preserve">Maîtres, quêtes, vendeurs de recettes, niveaux orange, butin des nouveaux ingrédients</t>
  </si>
  <si>
    <t xml:space="preserve">QuestieDB (github.com/Questie/QuestieDB), données Classic Era reprojetées sur Forever - licence GPL v3 à confirmer</t>
  </si>
  <si>
    <t xml:space="preserve">https://github.com/Questie/QuestieDB</t>
  </si>
  <si>
    <t xml:space="preserve">2026-10-10</t>
  </si>
  <si>
    <t xml:space="preserve">Recettes, composants et paliers (recoupement)</t>
  </si>
  <si>
    <t xml:space="preserve">AtlasLoot Classic (github.com/Hoizame/AtlasLootClassic), GPL v2</t>
  </si>
  <si>
    <t xml:space="preserve">https://github.com/Hoizame/AtlasLootClassic</t>
  </si>
  <si>
    <t xml:space="preserve">PNJ (EN)</t>
  </si>
  <si>
    <t xml:space="preserve">id_PNJ (Forever)</t>
  </si>
  <si>
    <t xml:space="preserve">Zone</t>
  </si>
  <si>
    <t xml:space="preserve">Position (x / y)</t>
  </si>
  <si>
    <t xml:space="preserve">Faction</t>
  </si>
  <si>
    <t xml:space="preserve">Article</t>
  </si>
  <si>
    <t xml:space="preserve">Type</t>
  </si>
  <si>
    <t xml:space="preserve">Prix (source)</t>
  </si>
  <si>
    <t xml:space="preserve">Source (URL)</t>
  </si>
  <si>
    <t xml:space="preserve">Période indiquée par la source</t>
  </si>
  <si>
    <t xml:space="preserve">Relevé en jeu (Forever)</t>
  </si>
  <si>
    <t xml:space="preserve">Brill, Clairières de Tirisfal</t>
  </si>
  <si>
    <t xml:space="preserve">61 / 52</t>
  </si>
  <si>
    <t xml:space="preserve">Horde</t>
  </si>
  <si>
    <t xml:space="preserve">Mild Spices (épices douces)</t>
  </si>
  <si>
    <t xml:space="preserve">composant</t>
  </si>
  <si>
    <t xml:space="preserve">10c (x5)</t>
  </si>
  <si>
    <t xml:space="preserve">https://warcraft.wiki.gg/wiki/Abigail_Shiel</t>
  </si>
  <si>
    <t xml:space="preserve">Actuel</t>
  </si>
  <si>
    <t xml:space="preserve">Confirmé en jeu (61 / 52,4)</t>
  </si>
  <si>
    <t xml:space="preserve">Simple Flour (farine simple)</t>
  </si>
  <si>
    <t xml:space="preserve">25c (x5)</t>
  </si>
  <si>
    <t xml:space="preserve">Ajouté au patch 2.0.3</t>
  </si>
  <si>
    <t xml:space="preserve">Absent du relevé en jeu : cohérent avec un client sans le contenu de 2.0.3</t>
  </si>
  <si>
    <t xml:space="preserve">Recipe: Crispy Bat Wing</t>
  </si>
  <si>
    <t xml:space="preserve">recette</t>
  </si>
  <si>
    <t xml:space="preserve">25c</t>
  </si>
  <si>
    <t xml:space="preserve">Classic</t>
  </si>
  <si>
    <t xml:space="preserve">Recette de la quête 1 (objet 12226)</t>
  </si>
  <si>
    <t xml:space="preserve">Sepulcher, Silverpine Forest</t>
  </si>
  <si>
    <t xml:space="preserve">43 / 41</t>
  </si>
  <si>
    <t xml:space="preserve">Hot Spices (épices fortes)</t>
  </si>
  <si>
    <t xml:space="preserve">40c</t>
  </si>
  <si>
    <t xml:space="preserve">https://warcraft.wiki.gg/wiki/Andrew_Hilbert</t>
  </si>
  <si>
    <t xml:space="preserve">Classic (retiré en 3.1.0)</t>
  </si>
  <si>
    <t xml:space="preserve">À relever en jeu</t>
  </si>
  <si>
    <t xml:space="preserve">Salt (sel)</t>
  </si>
  <si>
    <t xml:space="preserve">50c</t>
  </si>
  <si>
    <t xml:space="preserve">Recipe: Smoked Bear Meat</t>
  </si>
  <si>
    <t xml:space="preserve">2s 50c</t>
  </si>
  <si>
    <t xml:space="preserve">Recette de la quête 2 : à acheter ici (côté Horde)</t>
  </si>
  <si>
    <t xml:space="preserve">Trade Quarter, Undercity (Fossoyeuse)</t>
  </si>
  <si>
    <t xml:space="preserve">non indiquée</t>
  </si>
  <si>
    <t xml:space="preserve">https://warcraft.wiki.gg/wiki/Daniel_Bartlett</t>
  </si>
  <si>
    <t xml:space="preserve">Confirmé en jeu (64,2 / 37,8)</t>
  </si>
  <si>
    <t xml:space="preserve">Soothing Spices (épices apaisantes)</t>
  </si>
  <si>
    <t xml:space="preserve">1s 60c</t>
  </si>
  <si>
    <t xml:space="preserve">Confirmé en jeu</t>
  </si>
  <si>
    <t xml:space="preserve">34c (prix de la page)</t>
  </si>
  <si>
    <t xml:space="preserve">https://warcraft.wiki.gg/wiki/Felicia_Doan</t>
  </si>
  <si>
    <t xml:space="preserve">Confirmé en jeu (64,1 / 50,2)</t>
  </si>
  <si>
    <t xml:space="preserve">1s 36c (prix de la page)</t>
  </si>
  <si>
    <t xml:space="preserve">Ronald Burch</t>
  </si>
  <si>
    <t xml:space="preserve">https://warcraft.wiki.gg/wiki/Ronald_Burch</t>
  </si>
  <si>
    <t xml:space="preserve">Marchand de cuisine à visiter : à relever en jeu</t>
  </si>
  <si>
    <t xml:space="preserve">Mild Spices, Simple Flour, Refreshing Spring Water</t>
  </si>
  <si>
    <t xml:space="preserve">10c / 25c / 5c (x5)</t>
  </si>
  <si>
    <t xml:space="preserve">Liste de la version actuelle du jeu : à confirmer</t>
  </si>
  <si>
    <t xml:space="preserve">Refreshing Spring Water, Ice Cold Milk, Melon Juice, Sweet Nectar, Moonberry Juice, Morning Glory Dew</t>
  </si>
  <si>
    <t xml:space="preserve">5c / 1s25c / 5s / 10s / 20s / 40s (x5)</t>
  </si>
  <si>
    <t xml:space="preserve">https://warcraft.wiki.gg/wiki/Eleanor_Rusk</t>
  </si>
  <si>
    <t xml:space="preserve">Confirmé en jeu (69,1 / 48,5)</t>
  </si>
  <si>
    <t xml:space="preserve">Simple Wood (bois simple)</t>
  </si>
  <si>
    <t xml:space="preserve">38c</t>
  </si>
  <si>
    <t xml:space="preserve">Star Wood (bois d'étoile)</t>
  </si>
  <si>
    <t xml:space="preserve">non listé</t>
  </si>
  <si>
    <t xml:space="preserve">Absent de la page</t>
  </si>
  <si>
    <t xml:space="preserve">Écart : vendu en jeu, absent de la page</t>
  </si>
  <si>
    <t xml:space="preserve">Apothecarium, Undercity (Fossoyeuse)</t>
  </si>
  <si>
    <t xml:space="preserve">Simple Wood (bois simple), Star Wood (bois d'étoile)</t>
  </si>
  <si>
    <t xml:space="preserve">38c / 45s</t>
  </si>
  <si>
    <t xml:space="preserve">https://warcraft.wiki.gg/wiki/Thaddeus_Webb</t>
  </si>
  <si>
    <t xml:space="preserve">Actuel (liste Classic contradictoire)</t>
  </si>
  <si>
    <t xml:space="preserve">Confirmé en jeu (62 / 60,9)</t>
  </si>
  <si>
    <t xml:space="preserve">Chef Audrey</t>
  </si>
  <si>
    <t xml:space="preserve">63 / 34,4</t>
  </si>
  <si>
    <t xml:space="preserve">Refreshing Spring Water, Ice Cold Milk, Melon Juice, Sweet Nectar, Moonberry Juice, Morning Glory Dew (+ champignons)</t>
  </si>
  <si>
    <t xml:space="preserve">https://warcraft.wiki.gg/wiki/Chef_Audrey</t>
  </si>
  <si>
    <t xml:space="preserve">À relever en jeu : distinct de Norman l'aubergiste (67,6 / 38,1)</t>
  </si>
  <si>
    <t xml:space="preserve">Death's Watch Waystation, Clairières de Tirisfal</t>
  </si>
  <si>
    <t xml:space="preserve">66 / 60</t>
  </si>
  <si>
    <t xml:space="preserve">Recipe: Brilliant Smallfish</t>
  </si>
  <si>
    <t xml:space="preserve">https://warcraft.wiki.gg/wiki/Martine_Tramblay</t>
  </si>
  <si>
    <t xml:space="preserve">Non daté</t>
  </si>
  <si>
    <t xml:space="preserve">Confirmé en jeu (65,9 / 59,6), objet 6325</t>
  </si>
  <si>
    <t xml:space="preserve">Recipe: Slitherskin Mackerel</t>
  </si>
  <si>
    <t xml:space="preserve">Confirmé en jeu, objet 6326</t>
  </si>
  <si>
    <t xml:space="preserve">Couteau de chef (objet 273636)</t>
  </si>
  <si>
    <t xml:space="preserve">autre</t>
  </si>
  <si>
    <t xml:space="preserve">Objet propre à Forever : absent des sources web</t>
  </si>
  <si>
    <t xml:space="preserve">Xen'to</t>
  </si>
  <si>
    <t xml:space="preserve">Orgrimmar</t>
  </si>
  <si>
    <t xml:space="preserve">Water, Mild/Hot/Soothing Spices, Simple Flour, Recipe: Smoked Sagefish, Recipe: Sagefish Delight</t>
  </si>
  <si>
    <t xml:space="preserve">composant + recette</t>
  </si>
  <si>
    <t xml:space="preserve">10c à 50s</t>
  </si>
  <si>
    <t xml:space="preserve">https://wowclassicdb.com/wotlk/npc/3400</t>
  </si>
  <si>
    <t xml:space="preserve">Version WotLK de la base</t>
  </si>
  <si>
    <t xml:space="preserve">Wulan</t>
  </si>
  <si>
    <t xml:space="preserve">Shadowprey Village, Désolace</t>
  </si>
  <si>
    <t xml:space="preserve">26 / 70</t>
  </si>
  <si>
    <t xml:space="preserve">Expert Cookbook (livre de cuisine de l'expert)</t>
  </si>
  <si>
    <t xml:space="preserve">1g</t>
  </si>
  <si>
    <t xml:space="preserve">https://warcraft.wiki.gg/wiki/Wulan</t>
  </si>
  <si>
    <t xml:space="preserve">Livre pour passer au rang Expert</t>
  </si>
  <si>
    <t xml:space="preserve">Hot Spices, Soothing Spices</t>
  </si>
  <si>
    <t xml:space="preserve">40c / 1s 60c</t>
  </si>
  <si>
    <t xml:space="preserve">Recette (EN)</t>
  </si>
  <si>
    <t xml:space="preserve">Niveau d'apprentissage</t>
  </si>
  <si>
    <t xml:space="preserve">Position</t>
  </si>
  <si>
    <t xml:space="preserve">Prix</t>
  </si>
  <si>
    <t xml:space="preserve">Brilliant Smallfish</t>
  </si>
  <si>
    <t xml:space="preserve">1</t>
  </si>
  <si>
    <t xml:space="preserve">Slitherskin Mackerel</t>
  </si>
  <si>
    <t xml:space="preserve">Scorpid Surprise</t>
  </si>
  <si>
    <t xml:space="preserve">20</t>
  </si>
  <si>
    <t xml:space="preserve">Grimtak</t>
  </si>
  <si>
    <t xml:space="preserve">Razor Hill, Durotar</t>
  </si>
  <si>
    <t xml:space="preserve">1s 33c</t>
  </si>
  <si>
    <t xml:space="preserve">Roasted Kodo Meat</t>
  </si>
  <si>
    <t xml:space="preserve">35</t>
  </si>
  <si>
    <t xml:space="preserve">Wunna Darkmane</t>
  </si>
  <si>
    <t xml:space="preserve">Bloodhoof Village, Mulgore</t>
  </si>
  <si>
    <t xml:space="preserve">2s 28c</t>
  </si>
  <si>
    <t xml:space="preserve">Bat Bites</t>
  </si>
  <si>
    <t xml:space="preserve">50</t>
  </si>
  <si>
    <t xml:space="preserve">Master Chef Mouldier</t>
  </si>
  <si>
    <t xml:space="preserve">Tranquillien, Ghostlands</t>
  </si>
  <si>
    <t xml:space="preserve">4s</t>
  </si>
  <si>
    <t xml:space="preserve">Strider Stew</t>
  </si>
  <si>
    <t xml:space="preserve">Tari'qa</t>
  </si>
  <si>
    <t xml:space="preserve">Crossroads, Northern Barrens</t>
  </si>
  <si>
    <t xml:space="preserve">51,6 / 30</t>
  </si>
  <si>
    <t xml:space="preserve">4s 40c</t>
  </si>
  <si>
    <t xml:space="preserve">Crunchy Spider Surprise</t>
  </si>
  <si>
    <t xml:space="preserve">60</t>
  </si>
  <si>
    <t xml:space="preserve">Crispy Lizard Tail</t>
  </si>
  <si>
    <t xml:space="preserve">100</t>
  </si>
  <si>
    <t xml:space="preserve">https://warcraft.wiki.gg/wiki/List_of_Journeyman_Cooking_Recipes</t>
  </si>
  <si>
    <t xml:space="preserve">Lean Wolf Steak</t>
  </si>
  <si>
    <t xml:space="preserve">125</t>
  </si>
  <si>
    <t xml:space="preserve">Zargh</t>
  </si>
  <si>
    <t xml:space="preserve">52,6 / 29,8</t>
  </si>
  <si>
    <t xml:space="preserve">16s</t>
  </si>
  <si>
    <t xml:space="preserve">Hot Lion Chops</t>
  </si>
  <si>
    <t xml:space="preserve">18s</t>
  </si>
  <si>
    <t xml:space="preserve">Curiously Tasty Omelet</t>
  </si>
  <si>
    <t xml:space="preserve">130</t>
  </si>
  <si>
    <t xml:space="preserve">Keena</t>
  </si>
  <si>
    <t xml:space="preserve">Hammerfall, Arathi Highlands</t>
  </si>
  <si>
    <t xml:space="preserve">74 / 32,6</t>
  </si>
  <si>
    <t xml:space="preserve">Heavy Crocolisk Stew</t>
  </si>
  <si>
    <t xml:space="preserve">150</t>
  </si>
  <si>
    <t xml:space="preserve">Ogg'marr</t>
  </si>
  <si>
    <t xml:space="preserve">Brackenwall Village, Dustwallow Marsh</t>
  </si>
  <si>
    <t xml:space="preserve">Big Bear Steak</t>
  </si>
  <si>
    <t xml:space="preserve">Super-Seller 680</t>
  </si>
  <si>
    <t xml:space="preserve">Gelkis Village, Désolace</t>
  </si>
  <si>
    <t xml:space="preserve">Neutre</t>
  </si>
  <si>
    <t xml:space="preserve">Hot Wolf Ribs</t>
  </si>
  <si>
    <t xml:space="preserve">215</t>
  </si>
  <si>
    <t xml:space="preserve">Super-Seller 680 / Sheendra Tallgrass</t>
  </si>
  <si>
    <t xml:space="preserve">Désolace / Camp Mojache, Féralas</t>
  </si>
  <si>
    <t xml:space="preserve">Horde et neutre</t>
  </si>
  <si>
    <t xml:space="preserve">50s</t>
  </si>
  <si>
    <t xml:space="preserve">Roast Raptor</t>
  </si>
  <si>
    <t xml:space="preserve">175</t>
  </si>
  <si>
    <t xml:space="preserve">Hammerfall, Arathi</t>
  </si>
  <si>
    <t xml:space="preserve">https://www.zockify.com/classic/professions/cooking/</t>
  </si>
  <si>
    <t xml:space="preserve">Carrion Surprise</t>
  </si>
  <si>
    <t xml:space="preserve">Kireena / Banalash / Ogg'marr</t>
  </si>
  <si>
    <t xml:space="preserve">Désolace / Stonard / Brackenwall</t>
  </si>
  <si>
    <t xml:space="preserve">40-50s</t>
  </si>
  <si>
    <t xml:space="preserve">https://warcraft.wiki.gg/wiki/List_of_Expert_Cooking_Recipes</t>
  </si>
  <si>
    <t xml:space="preserve">Giant Clam Scorcho</t>
  </si>
  <si>
    <t xml:space="preserve">Booty Bay, Cape of Stranglethorn</t>
  </si>
  <si>
    <t xml:space="preserve">28 / 75</t>
  </si>
  <si>
    <t xml:space="preserve">https://warcraft.wiki.gg/wiki/Kelsey_Yance</t>
  </si>
  <si>
    <t xml:space="preserve">Jungle Stew</t>
  </si>
  <si>
    <t xml:space="preserve">Super-Seller 680 / Nerrist</t>
  </si>
  <si>
    <t xml:space="preserve">Désolace / Grom'gol Base Camp, Northern Stranglethorn</t>
  </si>
  <si>
    <t xml:space="preserve">non indiqué</t>
  </si>
  <si>
    <t xml:space="preserve">Mystery Stew</t>
  </si>
  <si>
    <t xml:space="preserve">Super-Seller 680 / Janet Hommers</t>
  </si>
  <si>
    <t xml:space="preserve">Désolace</t>
  </si>
  <si>
    <t xml:space="preserve">30s</t>
  </si>
  <si>
    <t xml:space="preserve">Dragonbreath Chili</t>
  </si>
  <si>
    <t xml:space="preserve">200</t>
  </si>
  <si>
    <t xml:space="preserve">70s</t>
  </si>
  <si>
    <t xml:space="preserve">Heavy Kodo Stew</t>
  </si>
  <si>
    <t xml:space="preserve">Vendor-Tron 1000 / Kireena</t>
  </si>
  <si>
    <t xml:space="preserve">Neutre / Horde</t>
  </si>
  <si>
    <t xml:space="preserve">Cooked Glossy Mightfish</t>
  </si>
  <si>
    <t xml:space="preserve">225</t>
  </si>
  <si>
    <t xml:space="preserve">1g 60s</t>
  </si>
  <si>
    <t xml:space="preserve">Filet of Redgill</t>
  </si>
  <si>
    <t xml:space="preserve">Monster Omelet</t>
  </si>
  <si>
    <t xml:space="preserve">Himmik / Malygen</t>
  </si>
  <si>
    <t xml:space="preserve">Everlook, Winterspring / Talonbranch Glade, Felwood</t>
  </si>
  <si>
    <t xml:space="preserve">1g 20s</t>
  </si>
  <si>
    <t xml:space="preserve">Spiced Chili Crab</t>
  </si>
  <si>
    <t xml:space="preserve">Banalash / Uthok</t>
  </si>
  <si>
    <t xml:space="preserve">Stonard / Grom'gol</t>
  </si>
  <si>
    <t xml:space="preserve">Tender Wolf Steak</t>
  </si>
  <si>
    <t xml:space="preserve">Dirge Quikcleave / Innkeeper Fizzgrimble</t>
  </si>
  <si>
    <t xml:space="preserve">Gadgetzan, Tanaris</t>
  </si>
  <si>
    <t xml:space="preserve">Undermine Clam Chowder</t>
  </si>
  <si>
    <t xml:space="preserve">Mrs. Gant / 'Chef' Overheat</t>
  </si>
  <si>
    <t xml:space="preserve">Booty Bay / Fuselight, Badlands</t>
  </si>
  <si>
    <t xml:space="preserve">Expert Cookbook (rang Expert)</t>
  </si>
  <si>
    <t xml:space="preserve">Maître de cuisine</t>
  </si>
  <si>
    <t xml:space="preserve">Eunice Burch</t>
  </si>
  <si>
    <t xml:space="preserve">62 / 44</t>
  </si>
  <si>
    <t xml:space="preserve">Aska Mistrunner</t>
  </si>
  <si>
    <t xml:space="preserve">Pitons-du-Tonnerre</t>
  </si>
  <si>
    <t xml:space="preserve">51 / 52</t>
  </si>
  <si>
    <t xml:space="preserve">Zamja</t>
  </si>
  <si>
    <t xml:space="preserve">57 / 53</t>
  </si>
  <si>
    <t xml:space="preserve">Pyall Silentstride</t>
  </si>
  <si>
    <t xml:space="preserve">45 / 57</t>
  </si>
  <si>
    <t xml:space="preserve">Mudduk</t>
  </si>
  <si>
    <t xml:space="preserve">37 / 49</t>
  </si>
  <si>
    <t xml:space="preserve">Duhng</t>
  </si>
  <si>
    <t xml:space="preserve">Tarides</t>
  </si>
  <si>
    <t xml:space="preserve">https://www.icy-veins.com/wow-classic/classic-cooking-profession-guide</t>
  </si>
  <si>
    <t xml:space="preserve">ID PNJ</t>
  </si>
  <si>
    <t xml:space="preserve">Maître (FR)</t>
  </si>
  <si>
    <t xml:space="preserve">Titre (FR)</t>
  </si>
  <si>
    <t xml:space="preserve">Titre (EN)</t>
  </si>
  <si>
    <t xml:space="preserve">Coordonnées</t>
  </si>
  <si>
    <t xml:space="preserve">Niveau</t>
  </si>
  <si>
    <t xml:space="preserve">Stephen Ryback</t>
  </si>
  <si>
    <t xml:space="preserve">Maître des cuisiniers</t>
  </si>
  <si>
    <t xml:space="preserve">Cooking Trainer</t>
  </si>
  <si>
    <t xml:space="preserve">Cité de Stormwind</t>
  </si>
  <si>
    <t xml:space="preserve">78.2, 53.1</t>
  </si>
  <si>
    <t xml:space="preserve">Alliance</t>
  </si>
  <si>
    <t xml:space="preserve">Alegorn</t>
  </si>
  <si>
    <t xml:space="preserve">Darnassus</t>
  </si>
  <si>
    <t xml:space="preserve">49.0, 21.2</t>
  </si>
  <si>
    <t xml:space="preserve">Cuisinier Ghilm</t>
  </si>
  <si>
    <t xml:space="preserve">68.4, 54.5</t>
  </si>
  <si>
    <t xml:space="preserve">Gremlock Pilsnor</t>
  </si>
  <si>
    <t xml:space="preserve">47.7, 52.3</t>
  </si>
  <si>
    <t xml:space="preserve">Tomas</t>
  </si>
  <si>
    <t xml:space="preserve">Cuisinier</t>
  </si>
  <si>
    <t xml:space="preserve">Cook</t>
  </si>
  <si>
    <t xml:space="preserve">Forêt d'Elwynn</t>
  </si>
  <si>
    <t xml:space="preserve">44.4, 66.0</t>
  </si>
  <si>
    <t xml:space="preserve">Daryl Riknussun</t>
  </si>
  <si>
    <t xml:space="preserve">Ironforge</t>
  </si>
  <si>
    <t xml:space="preserve">60.1, 36.4</t>
  </si>
  <si>
    <t xml:space="preserve">Crystal Boughman</t>
  </si>
  <si>
    <t xml:space="preserve">Les Carmines</t>
  </si>
  <si>
    <t xml:space="preserve">17.7, 43.5</t>
  </si>
  <si>
    <t xml:space="preserve">Zarrin</t>
  </si>
  <si>
    <t xml:space="preserve">57.1, 61.3</t>
  </si>
  <si>
    <t xml:space="preserve">Les Tarides</t>
  </si>
  <si>
    <t xml:space="preserve">55.3, 31.8</t>
  </si>
  <si>
    <t xml:space="preserve">44.9, 61.7</t>
  </si>
  <si>
    <t xml:space="preserve">57.4, 54.0</t>
  </si>
  <si>
    <t xml:space="preserve">Thunder Bluff</t>
  </si>
  <si>
    <t xml:space="preserve">50.7, 53.1</t>
  </si>
  <si>
    <t xml:space="preserve">62.1, 44.9</t>
  </si>
  <si>
    <t xml:space="preserve">Excellent cuisinier</t>
  </si>
  <si>
    <t xml:space="preserve">Superior Cook</t>
  </si>
  <si>
    <t xml:space="preserve">31.3, 28.0</t>
  </si>
  <si>
    <t xml:space="preserve">ID quête</t>
  </si>
  <si>
    <t xml:space="preserve">Quête (FR)</t>
  </si>
  <si>
    <t xml:space="preserve">Quête (EN)</t>
  </si>
  <si>
    <t xml:space="preserve">Niveau quête</t>
  </si>
  <si>
    <t xml:space="preserve">Niveau requis</t>
  </si>
  <si>
    <t xml:space="preserve">Cuisine requise</t>
  </si>
  <si>
    <t xml:space="preserve">Pourquoi elle est listée</t>
  </si>
  <si>
    <t xml:space="preserve">Objets demandés</t>
  </si>
  <si>
    <t xml:space="preserve">Recette en récompense</t>
  </si>
  <si>
    <t xml:space="preserve">Donneur (FR)</t>
  </si>
  <si>
    <t xml:space="preserve">Zone du donneur</t>
  </si>
  <si>
    <t xml:space="preserve">Allécher Negolash</t>
  </si>
  <si>
    <t xml:space="preserve">Enticing Negolash</t>
  </si>
  <si>
    <t xml:space="preserve">Demande des plats/composants</t>
  </si>
  <si>
    <t xml:space="preserve">Aile de busard grillée; Vin de Junglevine</t>
  </si>
  <si>
    <t xml:space="preserve">Les deux</t>
  </si>
  <si>
    <t xml:space="preserve">L'Alliance a besoin de plus de jaune-queue tacheté !</t>
  </si>
  <si>
    <t xml:space="preserve">The Alliance Needs More Spotted Yellowtail!</t>
  </si>
  <si>
    <t xml:space="preserve">Chasseresse Swiftriver</t>
  </si>
  <si>
    <t xml:space="preserve">71.5, 69.1</t>
  </si>
  <si>
    <t xml:space="preserve">L'Alliance a besoin de plus de rôti de raptor !</t>
  </si>
  <si>
    <t xml:space="preserve">The Alliance Needs More Roast Raptor!</t>
  </si>
  <si>
    <t xml:space="preserve">Sarah Sadwhistle</t>
  </si>
  <si>
    <t xml:space="preserve">71.3, 70.3</t>
  </si>
  <si>
    <t xml:space="preserve">L'Alliance a besoin de plus de thon arc-en-ciel !</t>
  </si>
  <si>
    <t xml:space="preserve">The Alliance Needs More Rainbow Fin Albacore!</t>
  </si>
  <si>
    <t xml:space="preserve">Khirry le Gastronome</t>
  </si>
  <si>
    <t xml:space="preserve">71.0, 69.9</t>
  </si>
  <si>
    <t xml:space="preserve">La Horde a besoin de plus de jaunes-queues tachetés !</t>
  </si>
  <si>
    <t xml:space="preserve">The Horde Needs More Spotted Yellowtail!</t>
  </si>
  <si>
    <t xml:space="preserve">Pêcheur Lin'do</t>
  </si>
  <si>
    <t xml:space="preserve">29.1, 68.9</t>
  </si>
  <si>
    <t xml:space="preserve">La Horde a besoin de plus de pains de saumon !</t>
  </si>
  <si>
    <t xml:space="preserve">The Horde Needs More Baked Salmon!</t>
  </si>
  <si>
    <t xml:space="preserve">Chef Sharpclaw</t>
  </si>
  <si>
    <t xml:space="preserve">28.8, 68.4</t>
  </si>
  <si>
    <t xml:space="preserve">La Horde a besoin de plus de steaks de loup !</t>
  </si>
  <si>
    <t xml:space="preserve">The Horde Needs More Lean Wolf Steaks!</t>
  </si>
  <si>
    <t xml:space="preserve">Garde de sang Rawtar</t>
  </si>
  <si>
    <t xml:space="preserve">28.8, 67.4</t>
  </si>
  <si>
    <t xml:space="preserve">Procurer de l'eau à Gerard</t>
  </si>
  <si>
    <t xml:space="preserve">Give Gerard a Drink</t>
  </si>
  <si>
    <t xml:space="preserve">Gerard Tiller</t>
  </si>
  <si>
    <t xml:space="preserve">43.1, 85.5</t>
  </si>
  <si>
    <t xml:space="preserve">Une recette kaldorei</t>
  </si>
  <si>
    <t xml:space="preserve">Recipe of the Kaldorei</t>
  </si>
  <si>
    <t xml:space="preserve">Compétence cuisine requise / Donne une recette / Demande des plats/composants</t>
  </si>
  <si>
    <t xml:space="preserve">Recette : Kébab d'araignée kaldorei</t>
  </si>
  <si>
    <t xml:space="preserve">Ravitailler le Crache-vapeur</t>
  </si>
  <si>
    <t xml:space="preserve">Stocking Jetsteam</t>
  </si>
  <si>
    <t xml:space="preserve">Morceau de viande de sanglier; Fourrure d'ours épaisse</t>
  </si>
  <si>
    <t xml:space="preserve">Pilote Bellowfiz</t>
  </si>
  <si>
    <t xml:space="preserve">49.4, 48.4</t>
  </si>
  <si>
    <t xml:space="preserve">Beer Basted Boar Ribs</t>
  </si>
  <si>
    <t xml:space="preserve">Donne une recette / Demande des plats/composants</t>
  </si>
  <si>
    <t xml:space="preserve">Côtes de sanglier des rochers; Bière au malt Rhapsody</t>
  </si>
  <si>
    <t xml:space="preserve">Recette : Côtes de sanglier à la bière</t>
  </si>
  <si>
    <t xml:space="preserve">Ragnar Thunderbrew</t>
  </si>
  <si>
    <t xml:space="preserve">46.8, 52.4</t>
  </si>
  <si>
    <t xml:space="preserve">Une tourte pour Billy</t>
  </si>
  <si>
    <t xml:space="preserve">Pie for Billy</t>
  </si>
  <si>
    <t xml:space="preserve">Billy Maclure</t>
  </si>
  <si>
    <t xml:space="preserve">43.1, 85.7</t>
  </si>
  <si>
    <t xml:space="preserve">Les boudins de Thelsamar</t>
  </si>
  <si>
    <t xml:space="preserve">Thelsamar Blood Sausages</t>
  </si>
  <si>
    <t xml:space="preserve">Tripes de sanglier; Viande d'ours; Ichor d'araignée</t>
  </si>
  <si>
    <t xml:space="preserve">Recette : Boudin</t>
  </si>
  <si>
    <t xml:space="preserve">Vidra Hearthstove</t>
  </si>
  <si>
    <t xml:space="preserve">34.8, 49.3</t>
  </si>
  <si>
    <t xml:space="preserve">Easy Strider Living</t>
  </si>
  <si>
    <t xml:space="preserve">Recette : Brouet de trotteur</t>
  </si>
  <si>
    <t xml:space="preserve">Alanndarian Nightsong</t>
  </si>
  <si>
    <t xml:space="preserve">Sombrivage</t>
  </si>
  <si>
    <t xml:space="preserve">37.7, 40.7</t>
  </si>
  <si>
    <t xml:space="preserve">La tourte au foie de Broche-tripes</t>
  </si>
  <si>
    <t xml:space="preserve">Goretusk Liver Pie</t>
  </si>
  <si>
    <t xml:space="preserve">Recette : Tourte au foie de Broche-tripes</t>
  </si>
  <si>
    <t xml:space="preserve">Salma Saldean</t>
  </si>
  <si>
    <t xml:space="preserve">Marche de l'Ouest</t>
  </si>
  <si>
    <t xml:space="preserve">56.4, 30.5</t>
  </si>
  <si>
    <t xml:space="preserve">Le ragoût de la marche de l'Ouest</t>
  </si>
  <si>
    <t xml:space="preserve">Westfall Stew</t>
  </si>
  <si>
    <t xml:space="preserve">Viande filandreuse de vautour; Oeil de murloc; Groin de Broche-tripes; Okra</t>
  </si>
  <si>
    <t xml:space="preserve">Recette : Ragoût de la marche de l'Ouest</t>
  </si>
  <si>
    <t xml:space="preserve">Chasse aux crocilisques</t>
  </si>
  <si>
    <t xml:space="preserve">Crocolisk Hunting</t>
  </si>
  <si>
    <t xml:space="preserve">Viande de crocilisque; Peau de crocilisque</t>
  </si>
  <si>
    <t xml:space="preserve">Recette : Steak de crocilisque</t>
  </si>
  <si>
    <t xml:space="preserve">Marek Ironheart</t>
  </si>
  <si>
    <t xml:space="preserve">81.8, 61.7</t>
  </si>
  <si>
    <t xml:space="preserve">Des friandises pour Grand-père Hiver</t>
  </si>
  <si>
    <t xml:space="preserve">Treats for Great-father Winter</t>
  </si>
  <si>
    <t xml:space="preserve">Biscuit de pain d'épice; Lait glacé</t>
  </si>
  <si>
    <t xml:space="preserve">Grand-père Hiver</t>
  </si>
  <si>
    <t xml:space="preserve">52.5, 69.2</t>
  </si>
  <si>
    <t xml:space="preserve">Des friandises pour Grandpère Hiver</t>
  </si>
  <si>
    <t xml:space="preserve">Treats for Greatfather Winter</t>
  </si>
  <si>
    <t xml:space="preserve">Grandpère Hiver</t>
  </si>
  <si>
    <t xml:space="preserve">33.2, 65.4</t>
  </si>
  <si>
    <t xml:space="preserve">Dig Rat Stew</t>
  </si>
  <si>
    <t xml:space="preserve">Recette : Brouet de rat</t>
  </si>
  <si>
    <t xml:space="preserve">Boustiff'</t>
  </si>
  <si>
    <t xml:space="preserve">Redridge Goulash</t>
  </si>
  <si>
    <t xml:space="preserve">Groin de grand Broche-tripes; Viande de condor coriace; Chair croustillante d'araignée</t>
  </si>
  <si>
    <t xml:space="preserve">Recette : Goulash des Carmines</t>
  </si>
  <si>
    <t xml:space="preserve">Chef Breanna</t>
  </si>
  <si>
    <t xml:space="preserve">17.6, 43.8</t>
  </si>
  <si>
    <t xml:space="preserve">Criée aux poissons</t>
  </si>
  <si>
    <t xml:space="preserve">Selling Fish</t>
  </si>
  <si>
    <t xml:space="preserve">Donne une recette</t>
  </si>
  <si>
    <t xml:space="preserve">Poisson-lune</t>
  </si>
  <si>
    <t xml:space="preserve">Recette : Soupe aux ailerons de murloc</t>
  </si>
  <si>
    <t xml:space="preserve">Chef des docks Baren</t>
  </si>
  <si>
    <t xml:space="preserve">22.6, 47.4</t>
  </si>
  <si>
    <t xml:space="preserve">Gâteaux au crabe brun</t>
  </si>
  <si>
    <t xml:space="preserve">Dusky Crab Cakes</t>
  </si>
  <si>
    <t xml:space="preserve">Recette : Tourte d'araignée fondante</t>
  </si>
  <si>
    <t xml:space="preserve">Chef Grual</t>
  </si>
  <si>
    <t xml:space="preserve">Bois de la Pénombre</t>
  </si>
  <si>
    <t xml:space="preserve">73.8, 43.5</t>
  </si>
  <si>
    <t xml:space="preserve">Sauvetage</t>
  </si>
  <si>
    <t xml:space="preserve">The Rescue</t>
  </si>
  <si>
    <t xml:space="preserve">Recette : Steak de grand ours</t>
  </si>
  <si>
    <t xml:space="preserve">Krusk</t>
  </si>
  <si>
    <t xml:space="preserve">Contreforts d'Hillsbrad</t>
  </si>
  <si>
    <t xml:space="preserve">63.2, 20.7</t>
  </si>
  <si>
    <t xml:space="preserve">Seasoned Wolf Kabobs</t>
  </si>
  <si>
    <t xml:space="preserve">Steak de loup; Herbes aromatiques de Stormwind</t>
  </si>
  <si>
    <t xml:space="preserve">Recette : Kébab de loup assaisonné</t>
  </si>
  <si>
    <t xml:space="preserve">Les devoirs de l'apprenti</t>
  </si>
  <si>
    <t xml:space="preserve">Apprentice's Duties</t>
  </si>
  <si>
    <t xml:space="preserve">Peau de crocilisque géant</t>
  </si>
  <si>
    <t xml:space="preserve">Recette : Gombo de crocilisque</t>
  </si>
  <si>
    <t xml:space="preserve">James Halloran</t>
  </si>
  <si>
    <t xml:space="preserve">Les Paluns</t>
  </si>
  <si>
    <t xml:space="preserve">8.6, 55.7</t>
  </si>
  <si>
    <t xml:space="preserve">La Horde a besoin de pains de saumon !</t>
  </si>
  <si>
    <t xml:space="preserve">The Horde Needs Baked Salmon!</t>
  </si>
  <si>
    <t xml:space="preserve">Les braconniers murlocs</t>
  </si>
  <si>
    <t xml:space="preserve">Murloc Poachers</t>
  </si>
  <si>
    <t xml:space="preserve">L'élixir de douleur</t>
  </si>
  <si>
    <t xml:space="preserve">Elixir of Pain</t>
  </si>
  <si>
    <t xml:space="preserve">Sang de lion des montagnes</t>
  </si>
  <si>
    <t xml:space="preserve">Recette : Côtelettes de lion épicées</t>
  </si>
  <si>
    <t xml:space="preserve">Apothicaire Lydon</t>
  </si>
  <si>
    <t xml:space="preserve">61.4, 19.1</t>
  </si>
  <si>
    <t xml:space="preserve">La vengeance d'Ormer</t>
  </si>
  <si>
    <t xml:space="preserve">Ormer's Revenge</t>
  </si>
  <si>
    <t xml:space="preserve">Serre de Grondecroc</t>
  </si>
  <si>
    <t xml:space="preserve">Recette : Omelette au goût étrange</t>
  </si>
  <si>
    <t xml:space="preserve">Ormer Ironbraid</t>
  </si>
  <si>
    <t xml:space="preserve">38.2, 50.9</t>
  </si>
  <si>
    <t xml:space="preserve">Soothing Turtle Bisque</t>
  </si>
  <si>
    <t xml:space="preserve">Viande de tortue; Epices apaisantes</t>
  </si>
  <si>
    <t xml:space="preserve">Recette : Bisque de tortue apaisante</t>
  </si>
  <si>
    <t xml:space="preserve">Chef Jessen</t>
  </si>
  <si>
    <t xml:space="preserve">51.9, 58.7</t>
  </si>
  <si>
    <t xml:space="preserve">Christoph Jeffcoat</t>
  </si>
  <si>
    <t xml:space="preserve">62.3, 19.0</t>
  </si>
  <si>
    <t xml:space="preserve">Soothing Spices</t>
  </si>
  <si>
    <t xml:space="preserve">Jarl "Oeil-des-marais"</t>
  </si>
  <si>
    <t xml:space="preserve">Marécage d'Âprefange</t>
  </si>
  <si>
    <t xml:space="preserve">55.4, 26.3</t>
  </si>
  <si>
    <t xml:space="preserve">Un problème très coûteux</t>
  </si>
  <si>
    <t xml:space="preserve">Costly Menace</t>
  </si>
  <si>
    <t xml:space="preserve">Recette : Délicieux steak de lion</t>
  </si>
  <si>
    <t xml:space="preserve">Darren Malvew</t>
  </si>
  <si>
    <t xml:space="preserve">52.4, 56.0</t>
  </si>
  <si>
    <t xml:space="preserve">Ailes de busard grillées</t>
  </si>
  <si>
    <t xml:space="preserve">Barbecued Buzzard Wings</t>
  </si>
  <si>
    <t xml:space="preserve">Recette : Aile de busard grillée</t>
  </si>
  <si>
    <t xml:space="preserve">Rigglefuzz</t>
  </si>
  <si>
    <t xml:space="preserve">Terres ingrates</t>
  </si>
  <si>
    <t xml:space="preserve">42.4, 52.9</t>
  </si>
  <si>
    <t xml:space="preserve">L'Alliance a besoin de rôtis de raptor !</t>
  </si>
  <si>
    <t xml:space="preserve">The Alliance Needs Roast Raptor!</t>
  </si>
  <si>
    <t xml:space="preserve">Je connais un gars...</t>
  </si>
  <si>
    <t xml:space="preserve">I Know A Guy...</t>
  </si>
  <si>
    <t xml:space="preserve">Compétence cuisine requise</t>
  </si>
  <si>
    <t xml:space="preserve">Surprise de palourdes</t>
  </si>
  <si>
    <t xml:space="preserve">Clamlette Surprise</t>
  </si>
  <si>
    <t xml:space="preserve">Compétence cuisine requise / Demande des plats/composants</t>
  </si>
  <si>
    <t xml:space="preserve">Oeuf géant; Chair de palourde piquante; Emmental d'Alterac</t>
  </si>
  <si>
    <t xml:space="preserve">Dirge Quikcleave</t>
  </si>
  <si>
    <t xml:space="preserve">52.6, 28.1</t>
  </si>
  <si>
    <t xml:space="preserve">Vers Gadgetzan vous allez !</t>
  </si>
  <si>
    <t xml:space="preserve">To Gadgetzan You Go!</t>
  </si>
  <si>
    <t xml:space="preserve">Le héros du jour</t>
  </si>
  <si>
    <t xml:space="preserve">The Hero of the Day</t>
  </si>
  <si>
    <t xml:space="preserve">Kaymard Copperpinch</t>
  </si>
  <si>
    <t xml:space="preserve">53.3, 66.5</t>
  </si>
  <si>
    <t xml:space="preserve">Wulmort Jinglepocket</t>
  </si>
  <si>
    <t xml:space="preserve">33.7, 67.2</t>
  </si>
  <si>
    <t xml:space="preserve">L'Alliance a besoin de jaune-queue tacheté !</t>
  </si>
  <si>
    <t xml:space="preserve">The Alliance Needs Spotted Yellowtail!</t>
  </si>
  <si>
    <t xml:space="preserve">La Horde a besoin de steaks de loup !</t>
  </si>
  <si>
    <t xml:space="preserve">The Horde Needs Lean Wolf Steaks!</t>
  </si>
  <si>
    <t xml:space="preserve">La Horde a besoin de jaunes-queues tachetés !</t>
  </si>
  <si>
    <t xml:space="preserve">The Horde Needs Spotted Yellowtail!</t>
  </si>
  <si>
    <t xml:space="preserve">L'Alliance a besoin de thon arc-en-ciel !</t>
  </si>
  <si>
    <t xml:space="preserve">The Alliance Needs Rainbow Fin Albacore!</t>
  </si>
  <si>
    <t xml:space="preserve">Partager la connaissance</t>
  </si>
  <si>
    <t xml:space="preserve">Sharing the Knowledge</t>
  </si>
  <si>
    <t xml:space="preserve">Recette du désert</t>
  </si>
  <si>
    <t xml:space="preserve">Desert Recipe</t>
  </si>
  <si>
    <t xml:space="preserve">Calandrath</t>
  </si>
  <si>
    <t xml:space="preserve">51.9, 39.2</t>
  </si>
  <si>
    <t xml:space="preserve">Un coup de main à la cuisine</t>
  </si>
  <si>
    <t xml:space="preserve">Kitchen Assistance</t>
  </si>
  <si>
    <t xml:space="preserve">Survivre dans le désert</t>
  </si>
  <si>
    <t xml:space="preserve">Desert Survival Kits</t>
  </si>
  <si>
    <t xml:space="preserve">Globe d'eau; Anti-venin puissant; Boulettes fumées du désert</t>
  </si>
  <si>
    <t xml:space="preserve">L'île de l'effroi !</t>
  </si>
  <si>
    <t xml:space="preserve">The Isle of Dread!</t>
  </si>
  <si>
    <t xml:space="preserve">Carcasse de Lakmaeran; Filet de chimaerok</t>
  </si>
  <si>
    <t xml:space="preserve">La brigade d'Ironforge a besoin d'explosifs !</t>
  </si>
  <si>
    <t xml:space="preserve">The Ironforge Brigade Needs Explosives!</t>
  </si>
  <si>
    <t xml:space="preserve">Huile d'immolation; Carburant de fusée des gobelins; Poudre d'explosion dense</t>
  </si>
  <si>
    <t xml:space="preserve">Dirge's Kickin' Chimaerok Chops</t>
  </si>
  <si>
    <t xml:space="preserve">Carburant de fusée des gobelins; Sel de Fonderoc</t>
  </si>
  <si>
    <t xml:space="preserve">Recette : Pyro-côtelettes de chimaerok à la Dirge</t>
  </si>
  <si>
    <t xml:space="preserve">Vend</t>
  </si>
  <si>
    <t xml:space="preserve">ID objet</t>
  </si>
  <si>
    <t xml:space="preserve">Objet (FR)</t>
  </si>
  <si>
    <t xml:space="preserve">Compétence requise</t>
  </si>
  <si>
    <t xml:space="preserve">PNJ (FR)</t>
  </si>
  <si>
    <t xml:space="preserve">Titre</t>
  </si>
  <si>
    <t xml:space="preserve">Composant</t>
  </si>
  <si>
    <t xml:space="preserve">Aubergiste Kaylisk</t>
  </si>
  <si>
    <t xml:space="preserve">Aubergiste</t>
  </si>
  <si>
    <t xml:space="preserve">74.0, 60.6</t>
  </si>
  <si>
    <t xml:space="preserve">Dalria</t>
  </si>
  <si>
    <t xml:space="preserve">Fournitures d'artisanat</t>
  </si>
  <si>
    <t xml:space="preserve">35.1, 52.1</t>
  </si>
  <si>
    <t xml:space="preserve">Haljan Oakheart</t>
  </si>
  <si>
    <t xml:space="preserve">Fournitures générales</t>
  </si>
  <si>
    <t xml:space="preserve">34.9, 50.9</t>
  </si>
  <si>
    <t xml:space="preserve">Kimlya l'aubergiste</t>
  </si>
  <si>
    <t xml:space="preserve">37.0, 49.2</t>
  </si>
  <si>
    <t xml:space="preserve">Maliynn</t>
  </si>
  <si>
    <t xml:space="preserve">Marchand de nourriture &amp; boissons</t>
  </si>
  <si>
    <t xml:space="preserve">36.6, 50.0</t>
  </si>
  <si>
    <t xml:space="preserve">Nantar</t>
  </si>
  <si>
    <t xml:space="preserve">Boulanger</t>
  </si>
  <si>
    <t xml:space="preserve">37.1, 49.9</t>
  </si>
  <si>
    <t xml:space="preserve">Shandrina</t>
  </si>
  <si>
    <t xml:space="preserve">49.5, 67.1</t>
  </si>
  <si>
    <t xml:space="preserve">Blimo Gadgetspring</t>
  </si>
  <si>
    <t xml:space="preserve">45.2, 90.8</t>
  </si>
  <si>
    <t xml:space="preserve">Kurll</t>
  </si>
  <si>
    <t xml:space="preserve">Nourriture &amp; boisson</t>
  </si>
  <si>
    <t xml:space="preserve">21.8, 52.1</t>
  </si>
  <si>
    <t xml:space="preserve">Aubergiste Vizzie</t>
  </si>
  <si>
    <t xml:space="preserve">Berceau-de-l'Hiver</t>
  </si>
  <si>
    <t xml:space="preserve">61.4, 38.8</t>
  </si>
  <si>
    <t xml:space="preserve">Himmik</t>
  </si>
  <si>
    <t xml:space="preserve">Nourriture &amp; boissons</t>
  </si>
  <si>
    <t xml:space="preserve">61.3, 39.2</t>
  </si>
  <si>
    <t xml:space="preserve">Lyranne Feathersong</t>
  </si>
  <si>
    <t xml:space="preserve">52.0, 29.3</t>
  </si>
  <si>
    <t xml:space="preserve">Natheril Raincaller</t>
  </si>
  <si>
    <t xml:space="preserve">51.5, 30.8</t>
  </si>
  <si>
    <t xml:space="preserve">Qia</t>
  </si>
  <si>
    <t xml:space="preserve">61.2, 37.2</t>
  </si>
  <si>
    <t xml:space="preserve">Syurana</t>
  </si>
  <si>
    <t xml:space="preserve">51.6, 29.8</t>
  </si>
  <si>
    <t xml:space="preserve">Gunder Thornbush</t>
  </si>
  <si>
    <t xml:space="preserve">Commerçant</t>
  </si>
  <si>
    <t xml:space="preserve">73.8, 45.1</t>
  </si>
  <si>
    <t xml:space="preserve">Hann le tavernier</t>
  </si>
  <si>
    <t xml:space="preserve">Tavernier</t>
  </si>
  <si>
    <t xml:space="preserve">73.7, 44.0</t>
  </si>
  <si>
    <t xml:space="preserve">Mabel Solaj</t>
  </si>
  <si>
    <t xml:space="preserve">Marchand de fournitures générales</t>
  </si>
  <si>
    <t xml:space="preserve">74.2, 44.8</t>
  </si>
  <si>
    <t xml:space="preserve">Trelayne l'aubergiste</t>
  </si>
  <si>
    <t xml:space="preserve">73.9, 44.4</t>
  </si>
  <si>
    <t xml:space="preserve">Aubergiste Allison</t>
  </si>
  <si>
    <t xml:space="preserve">60.4, 75.3</t>
  </si>
  <si>
    <t xml:space="preserve">Ben Trias</t>
  </si>
  <si>
    <t xml:space="preserve">Apprenti fromager</t>
  </si>
  <si>
    <t xml:space="preserve">66.4, 73.5</t>
  </si>
  <si>
    <t xml:space="preserve">Edna Mullby</t>
  </si>
  <si>
    <t xml:space="preserve">64.7, 71.3</t>
  </si>
  <si>
    <t xml:space="preserve">Elly Langston</t>
  </si>
  <si>
    <t xml:space="preserve">Serveuse</t>
  </si>
  <si>
    <t xml:space="preserve">76.5, 54.3</t>
  </si>
  <si>
    <t xml:space="preserve">Erika Tate</t>
  </si>
  <si>
    <t xml:space="preserve">Fournitures de cuisinier</t>
  </si>
  <si>
    <t xml:space="preserve">78.5, 52.9</t>
  </si>
  <si>
    <t xml:space="preserve">Herbes aromatiques de Stormwind</t>
  </si>
  <si>
    <t xml:space="preserve">Felicia Gump</t>
  </si>
  <si>
    <t xml:space="preserve">Fournitures d'herboriste</t>
  </si>
  <si>
    <t xml:space="preserve">69.3, 71.3</t>
  </si>
  <si>
    <t xml:space="preserve">Jarel Moor</t>
  </si>
  <si>
    <t xml:space="preserve">42.0, 82.7</t>
  </si>
  <si>
    <t xml:space="preserve">Jessara Cordell</t>
  </si>
  <si>
    <t xml:space="preserve">Fournitures d'enchanteur</t>
  </si>
  <si>
    <t xml:space="preserve">52.8, 74.3</t>
  </si>
  <si>
    <t xml:space="preserve">Joachim Brenlow</t>
  </si>
  <si>
    <t xml:space="preserve">51.5, 94.1</t>
  </si>
  <si>
    <t xml:space="preserve">Julia Gallina</t>
  </si>
  <si>
    <t xml:space="preserve">Marchand de vin</t>
  </si>
  <si>
    <t xml:space="preserve">59.9, 77.7</t>
  </si>
  <si>
    <t xml:space="preserve">Khole Jinglepocket</t>
  </si>
  <si>
    <t xml:space="preserve">Gourmandises Fumebois</t>
  </si>
  <si>
    <t xml:space="preserve">62.2, 70.3</t>
  </si>
  <si>
    <t xml:space="preserve">Roberto Pupellyverbos</t>
  </si>
  <si>
    <t xml:space="preserve">Connaisseur de Merlot</t>
  </si>
  <si>
    <t xml:space="preserve">60.0, 76.9</t>
  </si>
  <si>
    <t xml:space="preserve">Thurman Mullby</t>
  </si>
  <si>
    <t xml:space="preserve">64.8, 72.2</t>
  </si>
  <si>
    <t xml:space="preserve">61.0, 52.4</t>
  </si>
  <si>
    <t xml:space="preserve">Joshua Kien</t>
  </si>
  <si>
    <t xml:space="preserve">32.3, 65.4</t>
  </si>
  <si>
    <t xml:space="preserve">61.2, 52.6</t>
  </si>
  <si>
    <t xml:space="preserve">61.7, 52.0</t>
  </si>
  <si>
    <t xml:space="preserve">Anderson l'aubergiste</t>
  </si>
  <si>
    <t xml:space="preserve">51.2, 58.9</t>
  </si>
  <si>
    <t xml:space="preserve">Derak Nightfall</t>
  </si>
  <si>
    <t xml:space="preserve">63.1, 19.4</t>
  </si>
  <si>
    <t xml:space="preserve">Kayren Soothallow</t>
  </si>
  <si>
    <t xml:space="preserve">62.6, 19.9</t>
  </si>
  <si>
    <t xml:space="preserve">Kelly le serveur</t>
  </si>
  <si>
    <t xml:space="preserve">51.6, 58.6</t>
  </si>
  <si>
    <t xml:space="preserve">Micha Yance</t>
  </si>
  <si>
    <t xml:space="preserve">48.9, 55.0</t>
  </si>
  <si>
    <t xml:space="preserve">Neema</t>
  </si>
  <si>
    <t xml:space="preserve">51.1, 59.2</t>
  </si>
  <si>
    <t xml:space="preserve">Sarah Raycroft</t>
  </si>
  <si>
    <t xml:space="preserve">49.1, 55.1</t>
  </si>
  <si>
    <t xml:space="preserve">Shay l'aubergiste</t>
  </si>
  <si>
    <t xml:space="preserve">62.8, 19.0</t>
  </si>
  <si>
    <t xml:space="preserve">Nergal</t>
  </si>
  <si>
    <t xml:space="preserve">Cratère d'Un'Goro</t>
  </si>
  <si>
    <t xml:space="preserve">43.3, 7.7</t>
  </si>
  <si>
    <t xml:space="preserve">Dendrythis</t>
  </si>
  <si>
    <t xml:space="preserve">33.6, 15.9</t>
  </si>
  <si>
    <t xml:space="preserve">Ellandrieth</t>
  </si>
  <si>
    <t xml:space="preserve">64.7, 53.0</t>
  </si>
  <si>
    <t xml:space="preserve">Fyldan</t>
  </si>
  <si>
    <t xml:space="preserve">48.5, 21.6</t>
  </si>
  <si>
    <t xml:space="preserve">Fyrenna</t>
  </si>
  <si>
    <t xml:space="preserve">69.3, 45.0</t>
  </si>
  <si>
    <t xml:space="preserve">Jaeana</t>
  </si>
  <si>
    <t xml:space="preserve">Marchand de viande</t>
  </si>
  <si>
    <t xml:space="preserve">64.5, 71.7</t>
  </si>
  <si>
    <t xml:space="preserve">Mydrannul</t>
  </si>
  <si>
    <t xml:space="preserve">70.7, 45.4</t>
  </si>
  <si>
    <t xml:space="preserve">Mythrin'dir</t>
  </si>
  <si>
    <t xml:space="preserve">61.0, 17.7</t>
  </si>
  <si>
    <t xml:space="preserve">Saelienne l'aubergiste</t>
  </si>
  <si>
    <t xml:space="preserve">67.4, 15.7</t>
  </si>
  <si>
    <t xml:space="preserve">Vaean</t>
  </si>
  <si>
    <t xml:space="preserve">58.6, 14.7</t>
  </si>
  <si>
    <t xml:space="preserve">Adlin Pridedrift</t>
  </si>
  <si>
    <t xml:space="preserve">30.1, 71.5</t>
  </si>
  <si>
    <t xml:space="preserve">Belm l'aubergiste</t>
  </si>
  <si>
    <t xml:space="preserve">47.4, 52.5</t>
  </si>
  <si>
    <t xml:space="preserve">Golorn Frostbeard</t>
  </si>
  <si>
    <t xml:space="preserve">46.7, 53.5</t>
  </si>
  <si>
    <t xml:space="preserve">Kazan Mogosh</t>
  </si>
  <si>
    <t xml:space="preserve">68.6, 54.6</t>
  </si>
  <si>
    <t xml:space="preserve">Keeg Gibn</t>
  </si>
  <si>
    <t xml:space="preserve">Bière et vin</t>
  </si>
  <si>
    <t xml:space="preserve">30.4, 46.0</t>
  </si>
  <si>
    <t xml:space="preserve">Kreg Bilmn</t>
  </si>
  <si>
    <t xml:space="preserve">47.2, 52.4</t>
  </si>
  <si>
    <t xml:space="preserve">Duokna</t>
  </si>
  <si>
    <t xml:space="preserve">42.6, 67.3</t>
  </si>
  <si>
    <t xml:space="preserve">Flakk</t>
  </si>
  <si>
    <t xml:space="preserve">53.0, 42.0</t>
  </si>
  <si>
    <t xml:space="preserve">Boucher</t>
  </si>
  <si>
    <t xml:space="preserve">51.1, 42.6</t>
  </si>
  <si>
    <t xml:space="preserve">Grosk l'aubergiste</t>
  </si>
  <si>
    <t xml:space="preserve">51.5, 41.6</t>
  </si>
  <si>
    <t xml:space="preserve">Jark</t>
  </si>
  <si>
    <t xml:space="preserve">54.4, 42.2</t>
  </si>
  <si>
    <t xml:space="preserve">K'waii</t>
  </si>
  <si>
    <t xml:space="preserve">56.3, 73.4</t>
  </si>
  <si>
    <t xml:space="preserve">Tai'tasi</t>
  </si>
  <si>
    <t xml:space="preserve">56.4, 73.8</t>
  </si>
  <si>
    <t xml:space="preserve">Zlagk</t>
  </si>
  <si>
    <t xml:space="preserve">42.6, 67.2</t>
  </si>
  <si>
    <t xml:space="preserve">Aubergiste Lyshaerya</t>
  </si>
  <si>
    <t xml:space="preserve">66.3, 6.5</t>
  </si>
  <si>
    <t xml:space="preserve">Aubergiste Sikewa</t>
  </si>
  <si>
    <t xml:space="preserve">24.1, 68.2</t>
  </si>
  <si>
    <t xml:space="preserve">Christi Galvanis</t>
  </si>
  <si>
    <t xml:space="preserve">66.6, 7.0</t>
  </si>
  <si>
    <t xml:space="preserve">Harnor</t>
  </si>
  <si>
    <t xml:space="preserve">51.2, 53.3</t>
  </si>
  <si>
    <t xml:space="preserve">Janet Hommers</t>
  </si>
  <si>
    <t xml:space="preserve">66.2, 6.6</t>
  </si>
  <si>
    <t xml:space="preserve">Kireena</t>
  </si>
  <si>
    <t xml:space="preserve">51.0, 53.5</t>
  </si>
  <si>
    <t xml:space="preserve">Lah'Mawhani</t>
  </si>
  <si>
    <t xml:space="preserve">23.1, 71.6</t>
  </si>
  <si>
    <t xml:space="preserve">Tukk</t>
  </si>
  <si>
    <t xml:space="preserve">24.9, 71.8</t>
  </si>
  <si>
    <t xml:space="preserve">26.2, 69.7</t>
  </si>
  <si>
    <t xml:space="preserve">Aubergiste Farley</t>
  </si>
  <si>
    <t xml:space="preserve">43.8, 65.8</t>
  </si>
  <si>
    <t xml:space="preserve">Brog Hamfist</t>
  </si>
  <si>
    <t xml:space="preserve">44.0, 65.9</t>
  </si>
  <si>
    <t xml:space="preserve">Dobbins le tavernier</t>
  </si>
  <si>
    <t xml:space="preserve">44.0, 65.7</t>
  </si>
  <si>
    <t xml:space="preserve">Drake Lindgren</t>
  </si>
  <si>
    <t xml:space="preserve">83.3, 66.7</t>
  </si>
  <si>
    <t xml:space="preserve">Frère Danil</t>
  </si>
  <si>
    <t xml:space="preserve">47.5, 41.6</t>
  </si>
  <si>
    <t xml:space="preserve">Homer Stonefield</t>
  </si>
  <si>
    <t xml:space="preserve">Vendeur de fruits</t>
  </si>
  <si>
    <t xml:space="preserve">33.7, 82.9</t>
  </si>
  <si>
    <t xml:space="preserve">Joshua Maclure</t>
  </si>
  <si>
    <t xml:space="preserve">Vigneron</t>
  </si>
  <si>
    <t xml:space="preserve">42.4, 89.4</t>
  </si>
  <si>
    <t xml:space="preserve">Kira Songshine</t>
  </si>
  <si>
    <t xml:space="preserve">Boulangère ambulante</t>
  </si>
  <si>
    <t xml:space="preserve">42.5, 66.0</t>
  </si>
  <si>
    <t xml:space="preserve">Sergent De Vries</t>
  </si>
  <si>
    <t xml:space="preserve">Officier du moral</t>
  </si>
  <si>
    <t xml:space="preserve">24.1, 73.2</t>
  </si>
  <si>
    <t xml:space="preserve">Terry Palin</t>
  </si>
  <si>
    <t xml:space="preserve">Bûcheron</t>
  </si>
  <si>
    <t xml:space="preserve">83.0, 63.3</t>
  </si>
  <si>
    <t xml:space="preserve">Tharynn Bouden</t>
  </si>
  <si>
    <t xml:space="preserve">41.8, 67.2</t>
  </si>
  <si>
    <t xml:space="preserve">43.2, 40.7</t>
  </si>
  <si>
    <t xml:space="preserve">Aubergiste Bates</t>
  </si>
  <si>
    <t xml:space="preserve">43.2, 41.3</t>
  </si>
  <si>
    <t xml:space="preserve">Brasseur de Dalaran</t>
  </si>
  <si>
    <t xml:space="preserve">62.6, 65.0</t>
  </si>
  <si>
    <t xml:space="preserve">Edwin Harly</t>
  </si>
  <si>
    <t xml:space="preserve">44.0, 39.9</t>
  </si>
  <si>
    <t xml:space="preserve">Leo Sarn</t>
  </si>
  <si>
    <t xml:space="preserve">53.9, 82.2</t>
  </si>
  <si>
    <t xml:space="preserve">Lilly</t>
  </si>
  <si>
    <t xml:space="preserve">43.0, 50.8</t>
  </si>
  <si>
    <t xml:space="preserve">Aubergiste Greul</t>
  </si>
  <si>
    <t xml:space="preserve">Féralas</t>
  </si>
  <si>
    <t xml:space="preserve">74.8, 45.2</t>
  </si>
  <si>
    <t xml:space="preserve">Aubergiste Shyria</t>
  </si>
  <si>
    <t xml:space="preserve">31.0, 43.5</t>
  </si>
  <si>
    <t xml:space="preserve">Faralorn</t>
  </si>
  <si>
    <t xml:space="preserve">30.6, 43.4</t>
  </si>
  <si>
    <t xml:space="preserve">Harklane</t>
  </si>
  <si>
    <t xml:space="preserve">Marchand de poissons</t>
  </si>
  <si>
    <t xml:space="preserve">31.0, 46.2</t>
  </si>
  <si>
    <t xml:space="preserve">Loorana</t>
  </si>
  <si>
    <t xml:space="preserve">75.5, 43.9</t>
  </si>
  <si>
    <t xml:space="preserve">Mardrack Greenwell</t>
  </si>
  <si>
    <t xml:space="preserve">31.0, 43.1</t>
  </si>
  <si>
    <t xml:space="preserve">Sheendra Tallgrass</t>
  </si>
  <si>
    <t xml:space="preserve">74.5, 42.7</t>
  </si>
  <si>
    <t xml:space="preserve">Vivianna</t>
  </si>
  <si>
    <t xml:space="preserve">31.3, 43.5</t>
  </si>
  <si>
    <t xml:space="preserve">Bale</t>
  </si>
  <si>
    <t xml:space="preserve">Gangrebois</t>
  </si>
  <si>
    <t xml:space="preserve">34.8, 53.2</t>
  </si>
  <si>
    <t xml:space="preserve">Gorn le Borgne</t>
  </si>
  <si>
    <t xml:space="preserve">65.2, 2.7</t>
  </si>
  <si>
    <t xml:space="preserve">Hostile</t>
  </si>
  <si>
    <t xml:space="preserve">Malygen</t>
  </si>
  <si>
    <t xml:space="preserve">62.3, 25.6</t>
  </si>
  <si>
    <t xml:space="preserve">Maître forgeron Burninate</t>
  </si>
  <si>
    <t xml:space="preserve">La Confrérie du thorium</t>
  </si>
  <si>
    <t xml:space="preserve">Gorge des Vents brûlants</t>
  </si>
  <si>
    <t xml:space="preserve">38.8, 28.5</t>
  </si>
  <si>
    <t xml:space="preserve">Approvisionneur Shen'dralar</t>
  </si>
  <si>
    <t xml:space="preserve">Hache-tripes</t>
  </si>
  <si>
    <t xml:space="preserve">instance</t>
  </si>
  <si>
    <t xml:space="preserve">Garde de pierre Zarg</t>
  </si>
  <si>
    <t xml:space="preserve">Nourriture et boissons</t>
  </si>
  <si>
    <t xml:space="preserve">Hall of Legends</t>
  </si>
  <si>
    <t xml:space="preserve">Aubergiste Adegwa</t>
  </si>
  <si>
    <t xml:space="preserve">Hautes-terres d'Arathi</t>
  </si>
  <si>
    <t xml:space="preserve">73.8, 32.5</t>
  </si>
  <si>
    <t xml:space="preserve">Graud</t>
  </si>
  <si>
    <t xml:space="preserve">74.1, 32.4</t>
  </si>
  <si>
    <t xml:space="preserve">Hammon Karwn</t>
  </si>
  <si>
    <t xml:space="preserve">Excellent commerçant</t>
  </si>
  <si>
    <t xml:space="preserve">46.5, 47.4</t>
  </si>
  <si>
    <t xml:space="preserve">74.1, 32.7</t>
  </si>
  <si>
    <t xml:space="preserve">Vikki Lonsav</t>
  </si>
  <si>
    <t xml:space="preserve">46.5, 47.6</t>
  </si>
  <si>
    <t xml:space="preserve">Bimble Longberry</t>
  </si>
  <si>
    <t xml:space="preserve">Marchande de fruits</t>
  </si>
  <si>
    <t xml:space="preserve">26.8, 27.7</t>
  </si>
  <si>
    <t xml:space="preserve">Bruuk Barleybeard</t>
  </si>
  <si>
    <t xml:space="preserve">72.5, 77.0</t>
  </si>
  <si>
    <t xml:space="preserve">Bryllia Ironbrand</t>
  </si>
  <si>
    <t xml:space="preserve">39.2, 74.5</t>
  </si>
  <si>
    <t xml:space="preserve">Burbik Gearspanner</t>
  </si>
  <si>
    <t xml:space="preserve">46.4, 26.9</t>
  </si>
  <si>
    <t xml:space="preserve">Edris Barleybeard</t>
  </si>
  <si>
    <t xml:space="preserve">72.2, 75.8</t>
  </si>
  <si>
    <t xml:space="preserve">Emrul Riknussun</t>
  </si>
  <si>
    <t xml:space="preserve">59.9, 37.4</t>
  </si>
  <si>
    <t xml:space="preserve">Fillius Fizzlespinner</t>
  </si>
  <si>
    <t xml:space="preserve">38.1, 73.7</t>
  </si>
  <si>
    <t xml:space="preserve">Firebrew l'aubergiste</t>
  </si>
  <si>
    <t xml:space="preserve">18.1, 51.5</t>
  </si>
  <si>
    <t xml:space="preserve">Gwenna Firebrew</t>
  </si>
  <si>
    <t xml:space="preserve">18.6, 51.8</t>
  </si>
  <si>
    <t xml:space="preserve">Tilli Thistlefuzz</t>
  </si>
  <si>
    <t xml:space="preserve">61.0, 44.0</t>
  </si>
  <si>
    <t xml:space="preserve">Amy Davenport</t>
  </si>
  <si>
    <t xml:space="preserve">Commerçante</t>
  </si>
  <si>
    <t xml:space="preserve">24.0, 47.3</t>
  </si>
  <si>
    <t xml:space="preserve">Brianna l'aubergiste</t>
  </si>
  <si>
    <t xml:space="preserve">21.9, 44.8</t>
  </si>
  <si>
    <t xml:space="preserve">Gloria Femmel</t>
  </si>
  <si>
    <t xml:space="preserve">21.6, 43.5</t>
  </si>
  <si>
    <t xml:space="preserve">Gretchen Vogel</t>
  </si>
  <si>
    <t xml:space="preserve">17.8, 44.3</t>
  </si>
  <si>
    <t xml:space="preserve">Lamar Veisilli</t>
  </si>
  <si>
    <t xml:space="preserve">16.0, 46.2</t>
  </si>
  <si>
    <t xml:space="preserve">Lindsay Ashlock</t>
  </si>
  <si>
    <t xml:space="preserve">23.7, 47.3</t>
  </si>
  <si>
    <t xml:space="preserve">Wental le tavernier</t>
  </si>
  <si>
    <t xml:space="preserve">21.6, 43.9</t>
  </si>
  <si>
    <t xml:space="preserve">Aubergiste Thulfram</t>
  </si>
  <si>
    <t xml:space="preserve">Les Hinterlands</t>
  </si>
  <si>
    <t xml:space="preserve">14.2, 41.6</t>
  </si>
  <si>
    <t xml:space="preserve">Gigget Zipcoil</t>
  </si>
  <si>
    <t xml:space="preserve">34.5, 38.6</t>
  </si>
  <si>
    <t xml:space="preserve">Lard</t>
  </si>
  <si>
    <t xml:space="preserve">78.1, 81.4</t>
  </si>
  <si>
    <t xml:space="preserve">Otho Moji'ko</t>
  </si>
  <si>
    <t xml:space="preserve">79.4, 79.1</t>
  </si>
  <si>
    <t xml:space="preserve">Truk Wildbeard</t>
  </si>
  <si>
    <t xml:space="preserve">14.4, 42.3</t>
  </si>
  <si>
    <t xml:space="preserve">Gruham Rumdnul</t>
  </si>
  <si>
    <t xml:space="preserve">12.1, 58.0</t>
  </si>
  <si>
    <t xml:space="preserve">Helbrek l'aubergiste</t>
  </si>
  <si>
    <t xml:space="preserve">10.7, 61.0</t>
  </si>
  <si>
    <t xml:space="preserve">Kersok Prond</t>
  </si>
  <si>
    <t xml:space="preserve">10.4, 60.6</t>
  </si>
  <si>
    <t xml:space="preserve">Mikhail</t>
  </si>
  <si>
    <t xml:space="preserve">10.6, 60.8</t>
  </si>
  <si>
    <t xml:space="preserve">Neal Allen</t>
  </si>
  <si>
    <t xml:space="preserve">Fournitures générales &amp; d'ingénieur</t>
  </si>
  <si>
    <t xml:space="preserve">10.8, 56.8</t>
  </si>
  <si>
    <t xml:space="preserve">Aubergiste Faralia</t>
  </si>
  <si>
    <t xml:space="preserve">Les Serres-Rocheuses</t>
  </si>
  <si>
    <t xml:space="preserve">35.8, 5.7</t>
  </si>
  <si>
    <t xml:space="preserve">Aubergiste Jayka</t>
  </si>
  <si>
    <t xml:space="preserve">47.5, 62.1</t>
  </si>
  <si>
    <t xml:space="preserve">Chylina</t>
  </si>
  <si>
    <t xml:space="preserve">35.5, 6.2</t>
  </si>
  <si>
    <t xml:space="preserve">Denni'ka</t>
  </si>
  <si>
    <t xml:space="preserve">73.6, 95.4</t>
  </si>
  <si>
    <t xml:space="preserve">Grawnal</t>
  </si>
  <si>
    <t xml:space="preserve">45.9, 58.7</t>
  </si>
  <si>
    <t xml:space="preserve">Kulwia</t>
  </si>
  <si>
    <t xml:space="preserve">45.4, 59.3</t>
  </si>
  <si>
    <t xml:space="preserve">Aubergiste Byula</t>
  </si>
  <si>
    <t xml:space="preserve">45.6, 59.0</t>
  </si>
  <si>
    <t xml:space="preserve">Barg</t>
  </si>
  <si>
    <t xml:space="preserve">51.7, 29.9</t>
  </si>
  <si>
    <t xml:space="preserve">Boorand Plainswind l'aubergiste</t>
  </si>
  <si>
    <t xml:space="preserve">52.0, 29.9</t>
  </si>
  <si>
    <t xml:space="preserve">Jazzik</t>
  </si>
  <si>
    <t xml:space="preserve">61.9, 38.8</t>
  </si>
  <si>
    <t xml:space="preserve">Larhka</t>
  </si>
  <si>
    <t xml:space="preserve">Marchand de boissons</t>
  </si>
  <si>
    <t xml:space="preserve">52.0, 29.7</t>
  </si>
  <si>
    <t xml:space="preserve">Malgin Barleybrew</t>
  </si>
  <si>
    <t xml:space="preserve">Officier du moral de Bael'dun</t>
  </si>
  <si>
    <t xml:space="preserve">49.6, 84.3</t>
  </si>
  <si>
    <t xml:space="preserve">Ranik</t>
  </si>
  <si>
    <t xml:space="preserve">61.9, 38.7</t>
  </si>
  <si>
    <t xml:space="preserve">Tarban Hearthgrain</t>
  </si>
  <si>
    <t xml:space="preserve">55.2, 32.1</t>
  </si>
  <si>
    <t xml:space="preserve">51.7, 30.0</t>
  </si>
  <si>
    <t xml:space="preserve">Wiley l'aubergiste</t>
  </si>
  <si>
    <t xml:space="preserve">62.0, 39.4</t>
  </si>
  <si>
    <t xml:space="preserve">Drac Roughcut</t>
  </si>
  <si>
    <t xml:space="preserve">35.6, 49.1</t>
  </si>
  <si>
    <t xml:space="preserve">Hearthstove l'aubergiste</t>
  </si>
  <si>
    <t xml:space="preserve">35.5, 48.4</t>
  </si>
  <si>
    <t xml:space="preserve">Xandar Goodbeard</t>
  </si>
  <si>
    <t xml:space="preserve">82.5, 63.4</t>
  </si>
  <si>
    <t xml:space="preserve">Yanni Stoutheart</t>
  </si>
  <si>
    <t xml:space="preserve">34.8, 48.6</t>
  </si>
  <si>
    <t xml:space="preserve">Conservateur Alen</t>
  </si>
  <si>
    <t xml:space="preserve">L'Aube d'argent</t>
  </si>
  <si>
    <t xml:space="preserve">Maleterres de l'est</t>
  </si>
  <si>
    <t xml:space="preserve">69.9, 53.7</t>
  </si>
  <si>
    <t xml:space="preserve">Jase Farlane</t>
  </si>
  <si>
    <t xml:space="preserve">70.9, 48.1</t>
  </si>
  <si>
    <t xml:space="preserve">Jessica Chambers</t>
  </si>
  <si>
    <t xml:space="preserve">71.8, 48.5</t>
  </si>
  <si>
    <t xml:space="preserve">Boulanger Masterson</t>
  </si>
  <si>
    <t xml:space="preserve">Maleterres de l'ouest</t>
  </si>
  <si>
    <t xml:space="preserve">69.5, 79.7</t>
  </si>
  <si>
    <t xml:space="preserve">Banalash</t>
  </si>
  <si>
    <t xml:space="preserve">Marais des Chagrins</t>
  </si>
  <si>
    <t xml:space="preserve">44.8, 56.6</t>
  </si>
  <si>
    <t xml:space="preserve">Karakul l'aubergiste</t>
  </si>
  <si>
    <t xml:space="preserve">45.2, 56.7</t>
  </si>
  <si>
    <t xml:space="preserve">Thultash</t>
  </si>
  <si>
    <t xml:space="preserve">46.5, 54.3</t>
  </si>
  <si>
    <t xml:space="preserve">Aubergiste Heather</t>
  </si>
  <si>
    <t xml:space="preserve">52.9, 53.7</t>
  </si>
  <si>
    <t xml:space="preserve">Christopher Hewen</t>
  </si>
  <si>
    <t xml:space="preserve">Vendeur de fournitures générales</t>
  </si>
  <si>
    <t xml:space="preserve">52.2, 52.8</t>
  </si>
  <si>
    <t xml:space="preserve">Gina MacGregor</t>
  </si>
  <si>
    <t xml:space="preserve">57.6, 54.0</t>
  </si>
  <si>
    <t xml:space="preserve">Intendant Lewis</t>
  </si>
  <si>
    <t xml:space="preserve">Intendant</t>
  </si>
  <si>
    <t xml:space="preserve">57.0, 47.2</t>
  </si>
  <si>
    <t xml:space="preserve">Charity Mipsy</t>
  </si>
  <si>
    <t xml:space="preserve">67.5, 51.7</t>
  </si>
  <si>
    <t xml:space="preserve">Dwane Wertle</t>
  </si>
  <si>
    <t xml:space="preserve">Cuisinière</t>
  </si>
  <si>
    <t xml:space="preserve">68.2, 47.4</t>
  </si>
  <si>
    <t xml:space="preserve">Helenia Olden</t>
  </si>
  <si>
    <t xml:space="preserve">66.4, 51.5</t>
  </si>
  <si>
    <t xml:space="preserve">Janene l'aubergiste</t>
  </si>
  <si>
    <t xml:space="preserve">66.6, 45.2</t>
  </si>
  <si>
    <t xml:space="preserve">36.7, 31.0</t>
  </si>
  <si>
    <t xml:space="preserve">Tavernière Lillian</t>
  </si>
  <si>
    <t xml:space="preserve">Tavernière</t>
  </si>
  <si>
    <t xml:space="preserve">66.7, 45.2</t>
  </si>
  <si>
    <t xml:space="preserve">Aubergiste Abeqwa</t>
  </si>
  <si>
    <t xml:space="preserve">Mille pointes</t>
  </si>
  <si>
    <t xml:space="preserve">46.1, 51.5</t>
  </si>
  <si>
    <t xml:space="preserve">Jandia</t>
  </si>
  <si>
    <t xml:space="preserve">46.2, 51.5</t>
  </si>
  <si>
    <t xml:space="preserve">Jawn Highmesa</t>
  </si>
  <si>
    <t xml:space="preserve">45.9, 51.5</t>
  </si>
  <si>
    <t xml:space="preserve">Laer Stepperunner</t>
  </si>
  <si>
    <t xml:space="preserve">21.1, 31.9</t>
  </si>
  <si>
    <t xml:space="preserve">Riznek</t>
  </si>
  <si>
    <t xml:space="preserve">80.5, 76.5</t>
  </si>
  <si>
    <t xml:space="preserve">Turhaw</t>
  </si>
  <si>
    <t xml:space="preserve">45.4, 51.2</t>
  </si>
  <si>
    <t xml:space="preserve">Jhawna Oatwind</t>
  </si>
  <si>
    <t xml:space="preserve">46.8, 64.5</t>
  </si>
  <si>
    <t xml:space="preserve">Kauth l'aubergiste</t>
  </si>
  <si>
    <t xml:space="preserve">45.9, 64.2</t>
  </si>
  <si>
    <t xml:space="preserve">Kawnie Softbreeze</t>
  </si>
  <si>
    <t xml:space="preserve">44.8, 77.0</t>
  </si>
  <si>
    <t xml:space="preserve">Moodan Sungrain</t>
  </si>
  <si>
    <t xml:space="preserve">44.3, 78.2</t>
  </si>
  <si>
    <t xml:space="preserve">Moorat Longstride</t>
  </si>
  <si>
    <t xml:space="preserve">45.3, 61.3</t>
  </si>
  <si>
    <t xml:space="preserve">45.6, 61.7</t>
  </si>
  <si>
    <t xml:space="preserve">Asoran</t>
  </si>
  <si>
    <t xml:space="preserve">46.1, 40.9</t>
  </si>
  <si>
    <t xml:space="preserve">Felika</t>
  </si>
  <si>
    <t xml:space="preserve">Marchande de fournitures universelles</t>
  </si>
  <si>
    <t xml:space="preserve">60.6, 48.9</t>
  </si>
  <si>
    <t xml:space="preserve">Gryshka l'aubergiste</t>
  </si>
  <si>
    <t xml:space="preserve">54.1, 68.4</t>
  </si>
  <si>
    <t xml:space="preserve">Kithas</t>
  </si>
  <si>
    <t xml:space="preserve">53.9, 38.0</t>
  </si>
  <si>
    <t xml:space="preserve">Morag le tavernier</t>
  </si>
  <si>
    <t xml:space="preserve">54.6, 67.7</t>
  </si>
  <si>
    <t xml:space="preserve">Penney Copperpinch</t>
  </si>
  <si>
    <t xml:space="preserve">53.2, 65.9</t>
  </si>
  <si>
    <t xml:space="preserve">Shan'ti</t>
  </si>
  <si>
    <t xml:space="preserve">Marchand de fruits</t>
  </si>
  <si>
    <t xml:space="preserve">37.4, 52.3</t>
  </si>
  <si>
    <t xml:space="preserve">Shimra</t>
  </si>
  <si>
    <t xml:space="preserve">Marchand de fournitures universelles</t>
  </si>
  <si>
    <t xml:space="preserve">47.9, 80.3</t>
  </si>
  <si>
    <t xml:space="preserve">Trak'gen</t>
  </si>
  <si>
    <t xml:space="preserve">48.1, 80.5</t>
  </si>
  <si>
    <t xml:space="preserve">57.6, 52.9</t>
  </si>
  <si>
    <t xml:space="preserve">Daeolyn Summerleaf</t>
  </si>
  <si>
    <t xml:space="preserve">Reflet-de-Lune</t>
  </si>
  <si>
    <t xml:space="preserve">45.2, 34.7</t>
  </si>
  <si>
    <t xml:space="preserve">Dargon</t>
  </si>
  <si>
    <t xml:space="preserve">48.9, 39.2</t>
  </si>
  <si>
    <t xml:space="preserve">Lorelae Wintersong</t>
  </si>
  <si>
    <t xml:space="preserve">48.2, 40.1</t>
  </si>
  <si>
    <t xml:space="preserve">My'lanna</t>
  </si>
  <si>
    <t xml:space="preserve">44.5, 33.9</t>
  </si>
  <si>
    <t xml:space="preserve">Super-Vendeur 680</t>
  </si>
  <si>
    <t xml:space="preserve">Royaumes de l'est</t>
  </si>
  <si>
    <t xml:space="preserve">Vendeur-Tron 1000</t>
  </si>
  <si>
    <t xml:space="preserve">Kania</t>
  </si>
  <si>
    <t xml:space="preserve">52.0, 39.7</t>
  </si>
  <si>
    <t xml:space="preserve">Mishta</t>
  </si>
  <si>
    <t xml:space="preserve">49.9, 36.3</t>
  </si>
  <si>
    <t xml:space="preserve">Allyndia</t>
  </si>
  <si>
    <t xml:space="preserve">37.1, 43.6</t>
  </si>
  <si>
    <t xml:space="preserve">Dalmond</t>
  </si>
  <si>
    <t xml:space="preserve">37.5, 40.5</t>
  </si>
  <si>
    <t xml:space="preserve">Gorbold Steelhand</t>
  </si>
  <si>
    <t xml:space="preserve">38.1, 41.2</t>
  </si>
  <si>
    <t xml:space="preserve">Kyndri</t>
  </si>
  <si>
    <t xml:space="preserve">36.9, 44.6</t>
  </si>
  <si>
    <t xml:space="preserve">Shaussiy l'aubergiste</t>
  </si>
  <si>
    <t xml:space="preserve">37.0, 44.1</t>
  </si>
  <si>
    <t xml:space="preserve">Taldan</t>
  </si>
  <si>
    <t xml:space="preserve">36.8, 43.9</t>
  </si>
  <si>
    <t xml:space="preserve">Tiyani</t>
  </si>
  <si>
    <t xml:space="preserve">43.7, 76.6</t>
  </si>
  <si>
    <t xml:space="preserve">Ullanna</t>
  </si>
  <si>
    <t xml:space="preserve">43.8, 76.4</t>
  </si>
  <si>
    <t xml:space="preserve">Gabrielle Chase</t>
  </si>
  <si>
    <t xml:space="preserve">Steppes ardentes</t>
  </si>
  <si>
    <t xml:space="preserve">84.2, 67.8</t>
  </si>
  <si>
    <t xml:space="preserve">Gruna</t>
  </si>
  <si>
    <t xml:space="preserve">65.7, 23.9</t>
  </si>
  <si>
    <t xml:space="preserve">Aubergiste Fizzgrimble</t>
  </si>
  <si>
    <t xml:space="preserve">52.5, 27.9</t>
  </si>
  <si>
    <t xml:space="preserve">Gikkix</t>
  </si>
  <si>
    <t xml:space="preserve">Pêcheur</t>
  </si>
  <si>
    <t xml:space="preserve">66.6, 22.1</t>
  </si>
  <si>
    <t xml:space="preserve">Jabbey</t>
  </si>
  <si>
    <t xml:space="preserve">67.0, 22.0</t>
  </si>
  <si>
    <t xml:space="preserve">Aldia</t>
  </si>
  <si>
    <t xml:space="preserve">55.5, 57.1</t>
  </si>
  <si>
    <t xml:space="preserve">Danlyia</t>
  </si>
  <si>
    <t xml:space="preserve">55.4, 57.2</t>
  </si>
  <si>
    <t xml:space="preserve">Dellylah</t>
  </si>
  <si>
    <t xml:space="preserve">59.6, 40.7</t>
  </si>
  <si>
    <t xml:space="preserve">Keldamyr l'aubergiste</t>
  </si>
  <si>
    <t xml:space="preserve">55.6, 59.8</t>
  </si>
  <si>
    <t xml:space="preserve">Lyrai</t>
  </si>
  <si>
    <t xml:space="preserve">59.5, 40.9</t>
  </si>
  <si>
    <t xml:space="preserve">Narret Shadowgrove</t>
  </si>
  <si>
    <t xml:space="preserve">55.3, 57.1</t>
  </si>
  <si>
    <t xml:space="preserve">Nyoma</t>
  </si>
  <si>
    <t xml:space="preserve">57.2, 61.3</t>
  </si>
  <si>
    <t xml:space="preserve">Bernie Heisten</t>
  </si>
  <si>
    <t xml:space="preserve">Terres foudroyées</t>
  </si>
  <si>
    <t xml:space="preserve">63.5, 17.0</t>
  </si>
  <si>
    <t xml:space="preserve">Aubergiste Shul'kar</t>
  </si>
  <si>
    <t xml:space="preserve">2.8, 45.9</t>
  </si>
  <si>
    <t xml:space="preserve">Grawl</t>
  </si>
  <si>
    <t xml:space="preserve">3.1, 45.9</t>
  </si>
  <si>
    <t xml:space="preserve">Kuruk</t>
  </si>
  <si>
    <t xml:space="preserve">38.9, 64.7</t>
  </si>
  <si>
    <t xml:space="preserve">Naal Mistrunner</t>
  </si>
  <si>
    <t xml:space="preserve">51.0, 52.5</t>
  </si>
  <si>
    <t xml:space="preserve">Nan Mistrunner</t>
  </si>
  <si>
    <t xml:space="preserve">47.3, 42.5</t>
  </si>
  <si>
    <t xml:space="preserve">Nata Dawnstrider</t>
  </si>
  <si>
    <t xml:space="preserve">45.0, 38.8</t>
  </si>
  <si>
    <t xml:space="preserve">Pala l'aubergiste</t>
  </si>
  <si>
    <t xml:space="preserve">45.8, 64.7</t>
  </si>
  <si>
    <t xml:space="preserve">Seersa Copperpinch</t>
  </si>
  <si>
    <t xml:space="preserve">39.0, 61.1</t>
  </si>
  <si>
    <t xml:space="preserve">Shadi Mistrunner</t>
  </si>
  <si>
    <t xml:space="preserve">40.6, 64.0</t>
  </si>
  <si>
    <t xml:space="preserve">64.0, 37.4</t>
  </si>
  <si>
    <t xml:space="preserve">69.2, 48.9</t>
  </si>
  <si>
    <t xml:space="preserve">64.1, 50.6</t>
  </si>
  <si>
    <t xml:space="preserve">Morley Bates</t>
  </si>
  <si>
    <t xml:space="preserve">Marchand de champignons</t>
  </si>
  <si>
    <t xml:space="preserve">72.9, 26.7</t>
  </si>
  <si>
    <t xml:space="preserve">Nardstrum Copperpinch</t>
  </si>
  <si>
    <t xml:space="preserve">68.2, 38.9</t>
  </si>
  <si>
    <t xml:space="preserve">67.7, 37.9</t>
  </si>
  <si>
    <t xml:space="preserve">62.3, 43.1</t>
  </si>
  <si>
    <t xml:space="preserve">Tawny Grisette</t>
  </si>
  <si>
    <t xml:space="preserve">65.2, 49.8</t>
  </si>
  <si>
    <t xml:space="preserve">62.4, 61.0</t>
  </si>
  <si>
    <t xml:space="preserve">Brogus Thunderbrew</t>
  </si>
  <si>
    <t xml:space="preserve">Vallée d'Alterac</t>
  </si>
  <si>
    <t xml:space="preserve">43.0, 17.6</t>
  </si>
  <si>
    <t xml:space="preserve">Jonivera Farmountain</t>
  </si>
  <si>
    <t xml:space="preserve">43.1, 17.5</t>
  </si>
  <si>
    <t xml:space="preserve">Rarck</t>
  </si>
  <si>
    <t xml:space="preserve">49.9, 82.1</t>
  </si>
  <si>
    <t xml:space="preserve">Shrye Ragefist</t>
  </si>
  <si>
    <t xml:space="preserve">48.5, 80.5</t>
  </si>
  <si>
    <t xml:space="preserve">Svalbrad Farmountain</t>
  </si>
  <si>
    <t xml:space="preserve">42.8, 16.9</t>
  </si>
  <si>
    <t xml:space="preserve">Zora Guthrek</t>
  </si>
  <si>
    <t xml:space="preserve">50.1, 82.2</t>
  </si>
  <si>
    <t xml:space="preserve">Aubergiste Thulbek</t>
  </si>
  <si>
    <t xml:space="preserve">31.5, 29.8</t>
  </si>
  <si>
    <t xml:space="preserve">Caporal Bluth</t>
  </si>
  <si>
    <t xml:space="preserve">Marchand du camp</t>
  </si>
  <si>
    <t xml:space="preserve">38.0, 3.0</t>
  </si>
  <si>
    <t xml:space="preserve">28.2, 74.3</t>
  </si>
  <si>
    <t xml:space="preserve">Nargatt</t>
  </si>
  <si>
    <t xml:space="preserve">32.2, 29.3</t>
  </si>
  <si>
    <t xml:space="preserve">Nerrist</t>
  </si>
  <si>
    <t xml:space="preserve">32.7, 29.2</t>
  </si>
  <si>
    <t xml:space="preserve">Nixxrax Fillamug</t>
  </si>
  <si>
    <t xml:space="preserve">27.0, 77.2</t>
  </si>
  <si>
    <t xml:space="preserve">Skindle l'aubergiste</t>
  </si>
  <si>
    <t xml:space="preserve">27.0, 77.3</t>
  </si>
  <si>
    <t xml:space="preserve">Uthok</t>
  </si>
  <si>
    <t xml:space="preserve">31.6, 27.9</t>
  </si>
  <si>
    <t xml:space="preserve">Livre de cuisine pour expert</t>
  </si>
  <si>
    <t xml:space="preserve">Ulthaan</t>
  </si>
  <si>
    <t xml:space="preserve">50.0, 66.6</t>
  </si>
  <si>
    <t xml:space="preserve">Recette : Venaison dégraissée</t>
  </si>
  <si>
    <t xml:space="preserve">Recette : Morue rochécaille</t>
  </si>
  <si>
    <t xml:space="preserve">Wik'Tar</t>
  </si>
  <si>
    <t xml:space="preserve">Marchand de poissons &amp; fournitures</t>
  </si>
  <si>
    <t xml:space="preserve">11.7, 34.1</t>
  </si>
  <si>
    <t xml:space="preserve">Recette : Truite tête-mithril</t>
  </si>
  <si>
    <t xml:space="preserve">Recette : Omelette monstrueuse</t>
  </si>
  <si>
    <t xml:space="preserve">Catherine Leland</t>
  </si>
  <si>
    <t xml:space="preserve">Fournitures de pêche</t>
  </si>
  <si>
    <t xml:space="preserve">55.1, 69.8</t>
  </si>
  <si>
    <t xml:space="preserve">Recette : Poisson-chat moustachu</t>
  </si>
  <si>
    <t xml:space="preserve">Recette : Thon arc-en-ciel</t>
  </si>
  <si>
    <t xml:space="preserve">Recette : Délice de sagerelle</t>
  </si>
  <si>
    <t xml:space="preserve">Recette : Sagerelle fumée</t>
  </si>
  <si>
    <t xml:space="preserve">Kendor Kabonka</t>
  </si>
  <si>
    <t xml:space="preserve">Maître des recettes de cuisine</t>
  </si>
  <si>
    <t xml:space="preserve">77.5, 52.7</t>
  </si>
  <si>
    <t xml:space="preserve">Recette : Côtes de porc aux herbes</t>
  </si>
  <si>
    <t xml:space="preserve">Recette : Pince de crabe farcie</t>
  </si>
  <si>
    <t xml:space="preserve">Recette : Biscuit de pain d'épice</t>
  </si>
  <si>
    <t xml:space="preserve">Recette : Lait de poule</t>
  </si>
  <si>
    <t xml:space="preserve">65.9, 59.6</t>
  </si>
  <si>
    <t xml:space="preserve">Lindea Rabonne</t>
  </si>
  <si>
    <t xml:space="preserve">Appâts et hameçons</t>
  </si>
  <si>
    <t xml:space="preserve">50.6, 61.0</t>
  </si>
  <si>
    <t xml:space="preserve">Gretta Ganter</t>
  </si>
  <si>
    <t xml:space="preserve">31.5, 44.6</t>
  </si>
  <si>
    <t xml:space="preserve">Recette : Surprise du scorpide</t>
  </si>
  <si>
    <t xml:space="preserve">Zansoa</t>
  </si>
  <si>
    <t xml:space="preserve">56.1, 73.4</t>
  </si>
  <si>
    <t xml:space="preserve">Recette : Ragoût mystère</t>
  </si>
  <si>
    <t xml:space="preserve">Recette : Ragoût épais de kodo</t>
  </si>
  <si>
    <t xml:space="preserve">Recette : Tourte surprise</t>
  </si>
  <si>
    <t xml:space="preserve">Recette : Lutjan à longue mâchoire</t>
  </si>
  <si>
    <t xml:space="preserve">Killian Sanatha</t>
  </si>
  <si>
    <t xml:space="preserve">33.0, 17.9</t>
  </si>
  <si>
    <t xml:space="preserve">Recette : Côtes de loup épicées</t>
  </si>
  <si>
    <t xml:space="preserve">Recette : Pain de saumon</t>
  </si>
  <si>
    <t xml:space="preserve">Recette : Ragoût de homard</t>
  </si>
  <si>
    <t xml:space="preserve">Recette : Steak de barracuda</t>
  </si>
  <si>
    <t xml:space="preserve">Recette : Rôti de raptor</t>
  </si>
  <si>
    <t xml:space="preserve">Narj Deepslice</t>
  </si>
  <si>
    <t xml:space="preserve">45.5, 47.6</t>
  </si>
  <si>
    <t xml:space="preserve">Tansy Puddlefizz</t>
  </si>
  <si>
    <t xml:space="preserve">48.2, 6.5</t>
  </si>
  <si>
    <t xml:space="preserve">Recette : Steak de loup tendre</t>
  </si>
  <si>
    <t xml:space="preserve">Stuart Fleming</t>
  </si>
  <si>
    <t xml:space="preserve">8.0, 58.4</t>
  </si>
  <si>
    <t xml:space="preserve">Kilxx</t>
  </si>
  <si>
    <t xml:space="preserve">62.8, 38.2</t>
  </si>
  <si>
    <t xml:space="preserve">Recette : Queue de lézard croquante</t>
  </si>
  <si>
    <t xml:space="preserve">52.6, 29.8</t>
  </si>
  <si>
    <t xml:space="preserve">Recette : Délice de furie du loch</t>
  </si>
  <si>
    <t xml:space="preserve">Khara Deepwater</t>
  </si>
  <si>
    <t xml:space="preserve">40.3, 39.3</t>
  </si>
  <si>
    <t xml:space="preserve">Recette : Chili de crabe épicé</t>
  </si>
  <si>
    <t xml:space="preserve">Kriggon Talsone</t>
  </si>
  <si>
    <t xml:space="preserve">36.2, 90.2</t>
  </si>
  <si>
    <t xml:space="preserve">Recette : Soupe de palourdes</t>
  </si>
  <si>
    <t xml:space="preserve">Recette : Chili de souffle de dragon</t>
  </si>
  <si>
    <t xml:space="preserve">Recette : Ragoût épais de crocilisque</t>
  </si>
  <si>
    <t xml:space="preserve">Harn Longcast</t>
  </si>
  <si>
    <t xml:space="preserve">46.7, 59.1</t>
  </si>
  <si>
    <t xml:space="preserve">Recette : Viande de kodo rôtie</t>
  </si>
  <si>
    <t xml:space="preserve">Shankys</t>
  </si>
  <si>
    <t xml:space="preserve">70.0, 29.8</t>
  </si>
  <si>
    <t xml:space="preserve">Recette : Steak de loup</t>
  </si>
  <si>
    <t xml:space="preserve">Recette : Ragoût de la jungle</t>
  </si>
  <si>
    <t xml:space="preserve">Heldan Galesong</t>
  </si>
  <si>
    <t xml:space="preserve">37.0, 56.4</t>
  </si>
  <si>
    <t xml:space="preserve">Recette : Filet de furie</t>
  </si>
  <si>
    <t xml:space="preserve">Laird</t>
  </si>
  <si>
    <t xml:space="preserve">36.8, 44.3</t>
  </si>
  <si>
    <t xml:space="preserve">Recette : Calmar grillé</t>
  </si>
  <si>
    <t xml:space="preserve">Recette : Jaune-queue tacheté</t>
  </si>
  <si>
    <t xml:space="preserve">Recette : Saumon solécaille poché</t>
  </si>
  <si>
    <t xml:space="preserve">Recette : Soupe de lutjan nagenuit</t>
  </si>
  <si>
    <t xml:space="preserve">Recette : Soupe de palourdes d'Undermine</t>
  </si>
  <si>
    <t xml:space="preserve">Nessa Shadowsong</t>
  </si>
  <si>
    <t xml:space="preserve">56.3, 92.4</t>
  </si>
  <si>
    <t xml:space="preserve">Sewa Mistrunner</t>
  </si>
  <si>
    <t xml:space="preserve">55.8, 47.0</t>
  </si>
  <si>
    <t xml:space="preserve">Lizbeth Cromwell</t>
  </si>
  <si>
    <t xml:space="preserve">81.0, 30.8</t>
  </si>
  <si>
    <t xml:space="preserve">Recette : Ardeur de palourde géante</t>
  </si>
  <si>
    <t xml:space="preserve">Recette : Filet de rouget</t>
  </si>
  <si>
    <t xml:space="preserve">Recette : Perche fumée</t>
  </si>
</sst>
</file>

<file path=xl/styles.xml><?xml version="1.0" encoding="utf-8"?>
<styleSheet xmlns="http://schemas.openxmlformats.org/spreadsheetml/2006/main">
  <numFmts count="3">
    <numFmt numFmtId="164" formatCode="General"/>
    <numFmt numFmtId="165" formatCode="@"/>
    <numFmt numFmtId="166" formatCode="0%"/>
  </numFmts>
  <fonts count="12">
    <font>
      <sz val="11"/>
      <color theme="1"/>
      <name val="Calibri"/>
      <family val="2"/>
      <charset val="1"/>
    </font>
    <font>
      <sz val="10"/>
      <name val="Arial"/>
      <family val="0"/>
    </font>
    <font>
      <sz val="10"/>
      <name val="Arial"/>
      <family val="0"/>
    </font>
    <font>
      <sz val="10"/>
      <name val="Arial"/>
      <family val="0"/>
    </font>
    <font>
      <b val="true"/>
      <sz val="14"/>
      <name val="Arial"/>
      <family val="0"/>
      <charset val="1"/>
    </font>
    <font>
      <sz val="10"/>
      <name val="Arial"/>
      <family val="0"/>
      <charset val="1"/>
    </font>
    <font>
      <b val="true"/>
      <sz val="10"/>
      <name val="Arial"/>
      <family val="0"/>
      <charset val="1"/>
    </font>
    <font>
      <b val="true"/>
      <sz val="10"/>
      <color rgb="FFFFFFFF"/>
      <name val="Arial"/>
      <family val="0"/>
      <charset val="1"/>
    </font>
    <font>
      <sz val="10"/>
      <color rgb="FF0000FF"/>
      <name val="Arial"/>
      <family val="0"/>
      <charset val="1"/>
    </font>
    <font>
      <b val="true"/>
      <sz val="13"/>
      <name val="Arial"/>
      <family val="0"/>
      <charset val="1"/>
    </font>
    <font>
      <i val="true"/>
      <sz val="9"/>
      <name val="Arial"/>
      <family val="0"/>
      <charset val="1"/>
    </font>
    <font>
      <b val="true"/>
      <sz val="11"/>
      <color rgb="FFFFFFFF"/>
      <name val="Cambria"/>
      <family val="0"/>
      <charset val="1"/>
    </font>
  </fonts>
  <fills count="6">
    <fill>
      <patternFill patternType="none"/>
    </fill>
    <fill>
      <patternFill patternType="gray125"/>
    </fill>
    <fill>
      <patternFill patternType="solid">
        <fgColor rgb="FF2F4F6F"/>
        <bgColor rgb="FF305496"/>
      </patternFill>
    </fill>
    <fill>
      <patternFill patternType="solid">
        <fgColor rgb="FFFFF2CC"/>
        <bgColor rgb="FFFFFFFF"/>
      </patternFill>
    </fill>
    <fill>
      <patternFill patternType="solid">
        <fgColor rgb="FFFFFF00"/>
        <bgColor rgb="FFFFFF00"/>
      </patternFill>
    </fill>
    <fill>
      <patternFill patternType="solid">
        <fgColor rgb="FF305496"/>
        <bgColor rgb="FF2F4F6F"/>
      </patternFill>
    </fill>
  </fills>
  <borders count="2">
    <border diagonalUp="false" diagonalDown="false">
      <left/>
      <right/>
      <top/>
      <bottom/>
      <diagonal/>
    </border>
    <border diagonalUp="false" diagonalDown="false">
      <left/>
      <right/>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5">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general" vertical="top" textRotation="0" wrapText="true" indent="0" shrinkToFit="false"/>
      <protection locked="true" hidden="false"/>
    </xf>
    <xf numFmtId="164" fontId="5" fillId="0" borderId="0" xfId="0" applyFont="true" applyBorder="false" applyAlignment="true" applyProtection="false">
      <alignment horizontal="general" vertical="top" textRotation="0" wrapText="true" indent="0" shrinkToFit="false"/>
      <protection locked="true" hidden="false"/>
    </xf>
    <xf numFmtId="164" fontId="6" fillId="0" borderId="0" xfId="0" applyFont="true" applyBorder="false" applyAlignment="true" applyProtection="false">
      <alignment horizontal="general" vertical="top" textRotation="0" wrapText="true" indent="0" shrinkToFit="false"/>
      <protection locked="true" hidden="false"/>
    </xf>
    <xf numFmtId="164" fontId="7" fillId="2" borderId="0" xfId="0" applyFont="true" applyBorder="false" applyAlignment="true" applyProtection="false">
      <alignment horizontal="center" vertical="center" textRotation="0" wrapText="true" indent="0" shrinkToFit="false"/>
      <protection locked="true" hidden="false"/>
    </xf>
    <xf numFmtId="164" fontId="8" fillId="0" borderId="1" xfId="0" applyFont="true" applyBorder="true" applyAlignment="true" applyProtection="false">
      <alignment horizontal="general" vertical="bottom" textRotation="0" wrapText="false" indent="0" shrinkToFit="false"/>
      <protection locked="true" hidden="false"/>
    </xf>
    <xf numFmtId="164" fontId="8" fillId="0" borderId="1" xfId="0" applyFont="true" applyBorder="true" applyAlignment="true" applyProtection="false">
      <alignment horizontal="center" vertical="bottom" textRotation="0" wrapText="false" indent="0" shrinkToFit="false"/>
      <protection locked="true" hidden="false"/>
    </xf>
    <xf numFmtId="165" fontId="8" fillId="0" borderId="1" xfId="0" applyFont="true" applyBorder="true" applyAlignment="true" applyProtection="false">
      <alignment horizontal="general" vertical="bottom" textRotation="0" wrapText="false" indent="0" shrinkToFit="false"/>
      <protection locked="true" hidden="false"/>
    </xf>
    <xf numFmtId="164" fontId="5" fillId="0" borderId="1" xfId="0" applyFont="true" applyBorder="true" applyAlignment="true" applyProtection="false">
      <alignment horizontal="center" vertical="bottom" textRotation="0" wrapText="false" indent="0" shrinkToFit="false"/>
      <protection locked="true" hidden="false"/>
    </xf>
    <xf numFmtId="164" fontId="8" fillId="3" borderId="1" xfId="0" applyFont="true" applyBorder="true" applyAlignment="true" applyProtection="false">
      <alignment horizontal="general" vertical="bottom" textRotation="0" wrapText="false" indent="0" shrinkToFit="false"/>
      <protection locked="true" hidden="false"/>
    </xf>
    <xf numFmtId="164" fontId="8" fillId="3" borderId="1" xfId="0" applyFont="true" applyBorder="true" applyAlignment="true" applyProtection="false">
      <alignment horizontal="center" vertical="bottom" textRotation="0" wrapText="false" indent="0" shrinkToFit="false"/>
      <protection locked="true" hidden="false"/>
    </xf>
    <xf numFmtId="165" fontId="8" fillId="3" borderId="1" xfId="0" applyFont="true" applyBorder="true" applyAlignment="true" applyProtection="false">
      <alignment horizontal="general" vertical="bottom" textRotation="0" wrapText="false" indent="0" shrinkToFit="false"/>
      <protection locked="true" hidden="false"/>
    </xf>
    <xf numFmtId="164" fontId="5" fillId="3" borderId="1" xfId="0" applyFont="true" applyBorder="true" applyAlignment="true" applyProtection="false">
      <alignment horizontal="center" vertical="bottom" textRotation="0" wrapText="false" indent="0" shrinkToFit="false"/>
      <protection locked="true" hidden="false"/>
    </xf>
    <xf numFmtId="166" fontId="5" fillId="0" borderId="1" xfId="0" applyFont="true" applyBorder="true" applyAlignment="true" applyProtection="false">
      <alignment horizontal="center" vertical="bottom" textRotation="0" wrapText="false" indent="0" shrinkToFit="false"/>
      <protection locked="true" hidden="false"/>
    </xf>
    <xf numFmtId="164" fontId="5" fillId="0" borderId="1" xfId="0" applyFont="true" applyBorder="true" applyAlignment="true" applyProtection="false">
      <alignment horizontal="general" vertical="bottom" textRotation="0" wrapText="false" indent="0" shrinkToFit="false"/>
      <protection locked="true" hidden="false"/>
    </xf>
    <xf numFmtId="164" fontId="5" fillId="0" borderId="1" xfId="0" applyFont="true" applyBorder="true" applyAlignment="true" applyProtection="false">
      <alignment horizontal="general" vertical="top" textRotation="0" wrapText="true" indent="0" shrinkToFit="false"/>
      <protection locked="true" hidden="false"/>
    </xf>
    <xf numFmtId="164" fontId="9" fillId="0" borderId="0" xfId="0" applyFont="true" applyBorder="false" applyAlignment="true" applyProtection="false">
      <alignment horizontal="general" vertical="bottom" textRotation="0" wrapText="false" indent="0" shrinkToFit="false"/>
      <protection locked="true" hidden="false"/>
    </xf>
    <xf numFmtId="164" fontId="5" fillId="0" borderId="0" xfId="0" applyFont="true" applyBorder="false" applyAlignment="true" applyProtection="false">
      <alignment horizontal="general" vertical="bottom" textRotation="0" wrapText="false" indent="0" shrinkToFit="false"/>
      <protection locked="true" hidden="false"/>
    </xf>
    <xf numFmtId="166" fontId="8" fillId="4" borderId="0" xfId="0" applyFont="true" applyBorder="false" applyAlignment="true" applyProtection="false">
      <alignment horizontal="center" vertical="bottom" textRotation="0" wrapText="false" indent="0" shrinkToFit="false"/>
      <protection locked="true" hidden="false"/>
    </xf>
    <xf numFmtId="164" fontId="5" fillId="0" borderId="0" xfId="0" applyFont="true" applyBorder="true" applyAlignment="true" applyProtection="false">
      <alignment horizontal="general" vertical="top" textRotation="0" wrapText="true" indent="0" shrinkToFit="false"/>
      <protection locked="true" hidden="false"/>
    </xf>
    <xf numFmtId="164" fontId="8" fillId="4" borderId="1" xfId="0" applyFont="true" applyBorder="true" applyAlignment="true" applyProtection="false">
      <alignment horizontal="general" vertical="bottom" textRotation="0" wrapText="false" indent="0" shrinkToFit="false"/>
      <protection locked="true" hidden="false"/>
    </xf>
    <xf numFmtId="164" fontId="10" fillId="0" borderId="0" xfId="0" applyFont="true" applyBorder="false" applyAlignment="true" applyProtection="false">
      <alignment horizontal="general" vertical="bottom" textRotation="0" wrapText="false" indent="0" shrinkToFit="false"/>
      <protection locked="true" hidden="false"/>
    </xf>
    <xf numFmtId="164" fontId="8" fillId="0" borderId="0" xfId="0" applyFont="true" applyBorder="false" applyAlignment="true" applyProtection="false">
      <alignment horizontal="general" vertical="top" textRotation="0" wrapText="true" indent="0" shrinkToFit="false"/>
      <protection locked="true" hidden="false"/>
    </xf>
    <xf numFmtId="164" fontId="11" fillId="5"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5">
    <dxf>
      <fill>
        <patternFill patternType="solid">
          <fgColor rgb="FF2F4F6F"/>
          <bgColor rgb="FF000000"/>
        </patternFill>
      </fill>
    </dxf>
    <dxf>
      <fill>
        <patternFill patternType="solid">
          <fgColor rgb="FFFFF2CC"/>
          <bgColor rgb="FF000000"/>
        </patternFill>
      </fill>
    </dxf>
    <dxf>
      <fill>
        <patternFill patternType="solid">
          <bgColor rgb="FF000000"/>
        </patternFill>
      </fill>
    </dxf>
    <dxf>
      <fill>
        <patternFill patternType="solid">
          <fgColor rgb="FF0000FF"/>
          <bgColor rgb="FF000000"/>
        </patternFill>
      </fill>
    </dxf>
    <dxf>
      <fill>
        <patternFill patternType="solid">
          <fgColor rgb="FFFFFFFF"/>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2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05496"/>
      <rgbColor rgb="FF2F4F6F"/>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worksheet" Target="worksheets/sheet12.xml"/><Relationship Id="rId15" Type="http://schemas.openxmlformats.org/officeDocument/2006/relationships/worksheet" Target="worksheets/sheet13.xml"/><Relationship Id="rId16" Type="http://schemas.openxmlformats.org/officeDocument/2006/relationships/worksheet" Target="worksheets/sheet14.xml"/><Relationship Id="rId17" Type="http://schemas.openxmlformats.org/officeDocument/2006/relationships/worksheet" Target="worksheets/sheet15.xml"/><Relationship Id="rId18" Type="http://schemas.openxmlformats.org/officeDocument/2006/relationships/worksheet" Target="worksheets/sheet16.xml"/><Relationship Id="rId19" Type="http://schemas.openxmlformats.org/officeDocument/2006/relationships/worksheet" Target="worksheets/sheet17.xml"/><Relationship Id="rId20" Type="http://schemas.openxmlformats.org/officeDocument/2006/relationships/worksheet" Target="worksheets/sheet18.xml"/><Relationship Id="rId21"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drawings/drawing2.xml><?xml version="1.0" encoding="utf-8"?>
<xdr:wsDr xmlns:xdr="http://schemas.openxmlformats.org/drawingml/2006/spreadsheetDrawing" xmlns:a="http://schemas.openxmlformats.org/drawingml/2006/main" xmlns:r="http://schemas.openxmlformats.org/officeDocument/2006/relationships"/>
</file>

<file path=xl/drawings/drawing3.xml><?xml version="1.0" encoding="utf-8"?>
<xdr:wsDr xmlns:xdr="http://schemas.openxmlformats.org/drawingml/2006/spreadsheetDrawing" xmlns:a="http://schemas.openxmlformats.org/drawingml/2006/main" xmlns:r="http://schemas.openxmlformats.org/officeDocument/2006/relationships"/>
</file>

<file path=xl/drawings/drawing4.xml><?xml version="1.0" encoding="utf-8"?>
<xdr:wsDr xmlns:xdr="http://schemas.openxmlformats.org/drawingml/2006/spreadsheetDrawing" xmlns:a="http://schemas.openxmlformats.org/drawingml/2006/main" xmlns:r="http://schemas.openxmlformats.org/officeDocument/2006/relationships"/>
</file>

<file path=xl/drawings/drawing5.xml><?xml version="1.0" encoding="utf-8"?>
<xdr:wsDr xmlns:xdr="http://schemas.openxmlformats.org/drawingml/2006/spreadsheetDrawing" xmlns:a="http://schemas.openxmlformats.org/drawingml/2006/main" xmlns:r="http://schemas.openxmlformats.org/officeDocument/2006/relationships"/>
</file>

<file path=xl/drawings/drawing6.xml><?xml version="1.0" encoding="utf-8"?>
<xdr:wsDr xmlns:xdr="http://schemas.openxmlformats.org/drawingml/2006/spreadsheetDrawing" xmlns:a="http://schemas.openxmlformats.org/drawingml/2006/main" xmlns:r="http://schemas.openxmlformats.org/officeDocument/2006/relationships"/>
</file>

<file path=xl/drawings/drawing7.xml><?xml version="1.0" encoding="utf-8"?>
<xdr:wsDr xmlns:xdr="http://schemas.openxmlformats.org/drawingml/2006/spreadsheetDrawing" xmlns:a="http://schemas.openxmlformats.org/drawingml/2006/main" xmlns:r="http://schemas.openxmlformats.org/officeDocument/2006/relationships"/>
</file>

<file path=xl/drawings/drawing8.xml><?xml version="1.0" encoding="utf-8"?>
<xdr:wsDr xmlns:xdr="http://schemas.openxmlformats.org/drawingml/2006/spreadsheetDrawing" xmlns:a="http://schemas.openxmlformats.org/drawingml/2006/main" xmlns:r="http://schemas.openxmlformats.org/officeDocument/2006/relationships"/>
</file>

<file path=xl/drawings/drawing9.xml><?xml version="1.0" encoding="utf-8"?>
<xdr:wsDr xmlns:xdr="http://schemas.openxmlformats.org/drawingml/2006/spreadsheetDrawing" xmlns:a="http://schemas.openxmlformats.org/drawingml/2006/main" xmlns:r="http://schemas.openxmlformats.org/officeDocument/2006/relationships"/>
</file>

<file path=xl/drawings/drawing10.xml><?xml version="1.0" encoding="utf-8"?>
<xdr:wsDr xmlns:xdr="http://schemas.openxmlformats.org/drawingml/2006/spreadsheetDrawing" xmlns:a="http://schemas.openxmlformats.org/drawingml/2006/main" xmlns:r="http://schemas.openxmlformats.org/officeDocument/2006/relationships"/>
</file>

<file path=xl/drawings/drawing11.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drawing" Target="../drawings/drawing1.xml"/>
</Relationships>
</file>

<file path=xl/worksheets/_rels/sheet3.xml.rels><?xml version="1.0" encoding="UTF-8"?>
<Relationships xmlns="http://schemas.openxmlformats.org/package/2006/relationships"><Relationship Id="rId1" Type="http://schemas.openxmlformats.org/officeDocument/2006/relationships/drawing" Target="../drawings/drawing2.xml"/>
</Relationships>
</file>

<file path=xl/worksheets/_rels/sheet4.xml.rels><?xml version="1.0" encoding="UTF-8"?>
<Relationships xmlns="http://schemas.openxmlformats.org/package/2006/relationships"><Relationship Id="rId1" Type="http://schemas.openxmlformats.org/officeDocument/2006/relationships/drawing" Target="../drawings/drawing3.xml"/>
</Relationships>
</file>

<file path=xl/worksheets/_rels/sheet6.xml.rels><?xml version="1.0" encoding="UTF-8"?>
<Relationships xmlns="http://schemas.openxmlformats.org/package/2006/relationships"><Relationship Id="rId1" Type="http://schemas.openxmlformats.org/officeDocument/2006/relationships/drawing" Target="../drawings/drawing4.xml"/>
</Relationships>
</file>

<file path=xl/worksheets/_rels/sheet7.xml.rels><?xml version="1.0" encoding="UTF-8"?>
<Relationships xmlns="http://schemas.openxmlformats.org/package/2006/relationships"><Relationship Id="rId1" Type="http://schemas.openxmlformats.org/officeDocument/2006/relationships/drawing" Target="../drawings/drawing5.xml"/>
</Relationships>
</file>

<file path=xl/worksheets/_rels/sheet8.xml.rels><?xml version="1.0" encoding="UTF-8"?>
<Relationships xmlns="http://schemas.openxmlformats.org/package/2006/relationships"><Relationship Id="rId1" Type="http://schemas.openxmlformats.org/officeDocument/2006/relationships/drawing" Target="../drawings/drawing6.xml"/>
</Relationships>
</file>

<file path=xl/worksheets/_rels/sheet9.xml.rels><?xml version="1.0" encoding="UTF-8"?>
<Relationships xmlns="http://schemas.openxmlformats.org/package/2006/relationships"><Relationship Id="rId1" Type="http://schemas.openxmlformats.org/officeDocument/2006/relationships/drawing" Target="../drawings/drawing7.xml"/>
</Relationships>
</file>

<file path=xl/worksheets/_rels/sheet10.xml.rels><?xml version="1.0" encoding="UTF-8"?>
<Relationships xmlns="http://schemas.openxmlformats.org/package/2006/relationships"><Relationship Id="rId1" Type="http://schemas.openxmlformats.org/officeDocument/2006/relationships/drawing" Target="../drawings/drawing8.xml"/>
</Relationships>
</file>

<file path=xl/worksheets/_rels/sheet13.xml.rels><?xml version="1.0" encoding="UTF-8"?>
<Relationships xmlns="http://schemas.openxmlformats.org/package/2006/relationships"><Relationship Id="rId1" Type="http://schemas.openxmlformats.org/officeDocument/2006/relationships/drawing" Target="../drawings/drawing9.xml"/>
</Relationships>
</file>

<file path=xl/worksheets/_rels/sheet14.xml.rels><?xml version="1.0" encoding="UTF-8"?>
<Relationships xmlns="http://schemas.openxmlformats.org/package/2006/relationships"><Relationship Id="rId1" Type="http://schemas.openxmlformats.org/officeDocument/2006/relationships/drawing" Target="../drawings/drawing10.xml"/>
</Relationships>
</file>

<file path=xl/worksheets/_rels/sheet15.xml.rels><?xml version="1.0" encoding="UTF-8"?>
<Relationships xmlns="http://schemas.openxmlformats.org/package/2006/relationships"><Relationship Id="rId1" Type="http://schemas.openxmlformats.org/officeDocument/2006/relationships/drawing" Target="../drawings/drawing1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32"/>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110"/>
  </cols>
  <sheetData>
    <row r="1" customFormat="false" ht="17.25" hidden="false" customHeight="true" outlineLevel="0" collapsed="false">
      <c r="A1" s="2" t="s">
        <v>0</v>
      </c>
    </row>
    <row r="2" customFormat="false" ht="15" hidden="false" customHeight="true" outlineLevel="0" collapsed="false">
      <c r="A2" s="3"/>
    </row>
    <row r="3" customFormat="false" ht="15" hidden="false" customHeight="true" outlineLevel="0" collapsed="false">
      <c r="A3" s="4" t="s">
        <v>1</v>
      </c>
    </row>
    <row r="4" customFormat="false" ht="15" hidden="false" customHeight="true" outlineLevel="0" collapsed="false">
      <c r="A4" s="3" t="s">
        <v>2</v>
      </c>
    </row>
    <row r="5" customFormat="false" ht="15" hidden="false" customHeight="true" outlineLevel="0" collapsed="false">
      <c r="A5" s="3" t="s">
        <v>3</v>
      </c>
    </row>
    <row r="6" customFormat="false" ht="15" hidden="false" customHeight="true" outlineLevel="0" collapsed="false">
      <c r="A6" s="3" t="s">
        <v>4</v>
      </c>
    </row>
    <row r="7" customFormat="false" ht="23.25" hidden="false" customHeight="true" outlineLevel="0" collapsed="false">
      <c r="A7" s="3" t="s">
        <v>5</v>
      </c>
    </row>
    <row r="8" customFormat="false" ht="15" hidden="false" customHeight="true" outlineLevel="0" collapsed="false">
      <c r="A8" s="3" t="s">
        <v>6</v>
      </c>
    </row>
    <row r="9" customFormat="false" ht="15" hidden="false" customHeight="true" outlineLevel="0" collapsed="false">
      <c r="A9" s="3" t="s">
        <v>7</v>
      </c>
    </row>
    <row r="10" customFormat="false" ht="15" hidden="false" customHeight="true" outlineLevel="0" collapsed="false">
      <c r="A10" s="3" t="s">
        <v>8</v>
      </c>
    </row>
    <row r="11" customFormat="false" ht="15" hidden="false" customHeight="true" outlineLevel="0" collapsed="false">
      <c r="A11" s="3" t="s">
        <v>9</v>
      </c>
    </row>
    <row r="12" customFormat="false" ht="15" hidden="false" customHeight="true" outlineLevel="0" collapsed="false">
      <c r="A12" s="3"/>
    </row>
    <row r="13" customFormat="false" ht="15" hidden="false" customHeight="true" outlineLevel="0" collapsed="false">
      <c r="A13" s="4" t="s">
        <v>10</v>
      </c>
    </row>
    <row r="14" customFormat="false" ht="23.25" hidden="false" customHeight="true" outlineLevel="0" collapsed="false">
      <c r="A14" s="3" t="s">
        <v>11</v>
      </c>
    </row>
    <row r="15" customFormat="false" ht="23.25" hidden="false" customHeight="true" outlineLevel="0" collapsed="false">
      <c r="A15" s="3" t="s">
        <v>12</v>
      </c>
    </row>
    <row r="16" customFormat="false" ht="15" hidden="false" customHeight="true" outlineLevel="0" collapsed="false">
      <c r="A16" s="3" t="s">
        <v>13</v>
      </c>
    </row>
    <row r="17" customFormat="false" ht="15" hidden="false" customHeight="true" outlineLevel="0" collapsed="false">
      <c r="A17" s="3"/>
    </row>
    <row r="18" customFormat="false" ht="15" hidden="false" customHeight="true" outlineLevel="0" collapsed="false">
      <c r="A18" s="4" t="s">
        <v>14</v>
      </c>
    </row>
    <row r="19" customFormat="false" ht="15" hidden="false" customHeight="true" outlineLevel="0" collapsed="false">
      <c r="A19" s="3" t="s">
        <v>15</v>
      </c>
    </row>
    <row r="20" customFormat="false" ht="15" hidden="false" customHeight="true" outlineLevel="0" collapsed="false">
      <c r="A20" s="3" t="s">
        <v>16</v>
      </c>
    </row>
    <row r="21" customFormat="false" ht="15" hidden="false" customHeight="true" outlineLevel="0" collapsed="false">
      <c r="A21" s="3" t="s">
        <v>17</v>
      </c>
    </row>
    <row r="22" customFormat="false" ht="15" hidden="false" customHeight="true" outlineLevel="0" collapsed="false">
      <c r="A22" s="3" t="s">
        <v>18</v>
      </c>
    </row>
    <row r="23" customFormat="false" ht="15" hidden="false" customHeight="true" outlineLevel="0" collapsed="false">
      <c r="A23" s="3"/>
    </row>
    <row r="24" customFormat="false" ht="15" hidden="false" customHeight="true" outlineLevel="0" collapsed="false">
      <c r="A24" s="4" t="s">
        <v>19</v>
      </c>
    </row>
    <row r="25" customFormat="false" ht="23.25" hidden="false" customHeight="true" outlineLevel="0" collapsed="false">
      <c r="A25" s="3" t="s">
        <v>20</v>
      </c>
    </row>
    <row r="26" customFormat="false" ht="23.25" hidden="false" customHeight="true" outlineLevel="0" collapsed="false">
      <c r="A26" s="3" t="s">
        <v>21</v>
      </c>
    </row>
    <row r="27" customFormat="false" ht="15" hidden="false" customHeight="true" outlineLevel="0" collapsed="false">
      <c r="A27" s="3" t="s">
        <v>22</v>
      </c>
    </row>
    <row r="28" customFormat="false" ht="23.25" hidden="false" customHeight="true" outlineLevel="0" collapsed="false">
      <c r="A28" s="3" t="s">
        <v>23</v>
      </c>
    </row>
    <row r="29" customFormat="false" ht="15" hidden="false" customHeight="true" outlineLevel="0" collapsed="false">
      <c r="A29" s="3" t="s">
        <v>24</v>
      </c>
    </row>
    <row r="30" customFormat="false" ht="23.85" hidden="false" customHeight="false" outlineLevel="0" collapsed="false">
      <c r="A30" s="3" t="s">
        <v>25</v>
      </c>
    </row>
    <row r="31" customFormat="false" ht="23.85" hidden="false" customHeight="false" outlineLevel="0" collapsed="false">
      <c r="A31" s="3" t="s">
        <v>26</v>
      </c>
    </row>
    <row r="32" customFormat="false" ht="23.85" hidden="false" customHeight="false" outlineLevel="0" collapsed="false">
      <c r="A32" s="3" t="s">
        <v>27</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N12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12"/>
    <col collapsed="false" customWidth="true" hidden="false" outlineLevel="0" max="2" min="2" style="1" width="10"/>
    <col collapsed="false" customWidth="true" hidden="false" outlineLevel="0" max="3" min="3" style="1" width="38"/>
    <col collapsed="false" customWidth="true" hidden="false" outlineLevel="0" max="5" min="4" style="1" width="12"/>
    <col collapsed="false" customWidth="true" hidden="false" outlineLevel="0" max="6" min="6" style="1" width="10"/>
    <col collapsed="false" customWidth="true" hidden="false" outlineLevel="0" max="10" min="7" style="1" width="9"/>
    <col collapsed="false" customWidth="true" hidden="false" outlineLevel="0" max="11" min="11" style="1" width="16"/>
    <col collapsed="false" customWidth="true" hidden="false" outlineLevel="0" max="13" min="12" style="1" width="12"/>
    <col collapsed="false" customWidth="true" hidden="false" outlineLevel="0" max="14" min="14" style="0" width="20"/>
  </cols>
  <sheetData>
    <row r="1" customFormat="false" ht="31.5" hidden="false" customHeight="true" outlineLevel="0" collapsed="false">
      <c r="A1" s="5" t="s">
        <v>28</v>
      </c>
      <c r="B1" s="5" t="s">
        <v>29</v>
      </c>
      <c r="C1" s="5" t="s">
        <v>30</v>
      </c>
      <c r="D1" s="5" t="s">
        <v>31</v>
      </c>
      <c r="E1" s="5" t="s">
        <v>32</v>
      </c>
      <c r="F1" s="5" t="s">
        <v>33</v>
      </c>
      <c r="G1" s="5" t="s">
        <v>34</v>
      </c>
      <c r="H1" s="5" t="s">
        <v>35</v>
      </c>
      <c r="I1" s="5" t="s">
        <v>36</v>
      </c>
      <c r="J1" s="5" t="s">
        <v>37</v>
      </c>
      <c r="K1" s="5" t="s">
        <v>38</v>
      </c>
      <c r="L1" s="5" t="s">
        <v>39</v>
      </c>
      <c r="M1" s="5" t="s">
        <v>40</v>
      </c>
      <c r="N1" s="5" t="s">
        <v>41</v>
      </c>
    </row>
    <row r="2" customFormat="false" ht="15" hidden="false" customHeight="true" outlineLevel="0" collapsed="false">
      <c r="A2" s="6" t="n">
        <v>279981</v>
      </c>
      <c r="B2" s="6" t="s">
        <v>42</v>
      </c>
      <c r="C2" s="6" t="s">
        <v>43</v>
      </c>
      <c r="D2" s="7" t="s">
        <v>44</v>
      </c>
      <c r="E2" s="7" t="s">
        <v>44</v>
      </c>
      <c r="F2" s="7" t="n">
        <v>1</v>
      </c>
      <c r="G2" s="7"/>
      <c r="H2" s="7" t="n">
        <v>1</v>
      </c>
      <c r="I2" s="7" t="n">
        <v>3</v>
      </c>
      <c r="J2" s="7" t="n">
        <v>5</v>
      </c>
      <c r="K2" s="8" t="s">
        <v>45</v>
      </c>
      <c r="L2" s="9" t="s">
        <v>46</v>
      </c>
      <c r="M2" s="9" t="n">
        <f aca="false">COUNTIF(Composants!A:A,A2)</f>
        <v>1</v>
      </c>
    </row>
    <row r="3" customFormat="false" ht="15" hidden="false" customHeight="true" outlineLevel="0" collapsed="false">
      <c r="A3" s="10" t="n">
        <v>249871</v>
      </c>
      <c r="B3" s="10" t="s">
        <v>47</v>
      </c>
      <c r="C3" s="10" t="s">
        <v>48</v>
      </c>
      <c r="D3" s="11" t="s">
        <v>44</v>
      </c>
      <c r="E3" s="11" t="s">
        <v>49</v>
      </c>
      <c r="F3" s="11" t="n">
        <v>1</v>
      </c>
      <c r="G3" s="11"/>
      <c r="H3" s="11"/>
      <c r="I3" s="11"/>
      <c r="J3" s="11"/>
      <c r="K3" s="12" t="s">
        <v>50</v>
      </c>
      <c r="L3" s="13" t="s">
        <v>51</v>
      </c>
      <c r="M3" s="13" t="n">
        <f aca="false">COUNTIF(Composants!A:A,A3)</f>
        <v>3</v>
      </c>
    </row>
    <row r="4" customFormat="false" ht="15" hidden="false" customHeight="true" outlineLevel="0" collapsed="false">
      <c r="A4" s="10" t="n">
        <v>263509</v>
      </c>
      <c r="B4" s="10" t="s">
        <v>47</v>
      </c>
      <c r="C4" s="10" t="s">
        <v>52</v>
      </c>
      <c r="D4" s="11" t="s">
        <v>44</v>
      </c>
      <c r="E4" s="11" t="s">
        <v>49</v>
      </c>
      <c r="F4" s="11" t="n">
        <v>1</v>
      </c>
      <c r="G4" s="11"/>
      <c r="H4" s="11"/>
      <c r="I4" s="11"/>
      <c r="J4" s="11"/>
      <c r="K4" s="12" t="s">
        <v>53</v>
      </c>
      <c r="L4" s="13" t="s">
        <v>51</v>
      </c>
      <c r="M4" s="13" t="n">
        <f aca="false">COUNTIF(Composants!A:A,A4)</f>
        <v>2</v>
      </c>
    </row>
    <row r="5" customFormat="false" ht="15" hidden="false" customHeight="true" outlineLevel="0" collapsed="false">
      <c r="A5" s="6" t="n">
        <v>818</v>
      </c>
      <c r="B5" s="6" t="s">
        <v>42</v>
      </c>
      <c r="C5" s="6" t="s">
        <v>54</v>
      </c>
      <c r="D5" s="7" t="s">
        <v>49</v>
      </c>
      <c r="E5" s="7" t="s">
        <v>44</v>
      </c>
      <c r="F5" s="7" t="n">
        <v>1</v>
      </c>
      <c r="G5" s="7"/>
      <c r="H5" s="7" t="n">
        <v>25</v>
      </c>
      <c r="I5" s="7" t="n">
        <v>50</v>
      </c>
      <c r="J5" s="7" t="n">
        <v>75</v>
      </c>
      <c r="K5" s="8" t="s">
        <v>55</v>
      </c>
      <c r="L5" s="9" t="s">
        <v>46</v>
      </c>
      <c r="M5" s="9" t="n">
        <f aca="false">COUNTIF(Composants!A:A,A5)</f>
        <v>1</v>
      </c>
      <c r="N5" s="0" t="n">
        <v>25</v>
      </c>
    </row>
    <row r="6" customFormat="false" ht="15" hidden="false" customHeight="true" outlineLevel="0" collapsed="false">
      <c r="A6" s="6" t="n">
        <v>249865</v>
      </c>
      <c r="B6" s="6" t="s">
        <v>47</v>
      </c>
      <c r="C6" s="6" t="s">
        <v>56</v>
      </c>
      <c r="D6" s="7" t="s">
        <v>44</v>
      </c>
      <c r="E6" s="7" t="s">
        <v>49</v>
      </c>
      <c r="F6" s="7" t="n">
        <v>1</v>
      </c>
      <c r="G6" s="7" t="n">
        <v>25</v>
      </c>
      <c r="H6" s="7" t="n">
        <v>25</v>
      </c>
      <c r="I6" s="7" t="n">
        <v>45</v>
      </c>
      <c r="J6" s="7" t="n">
        <v>65</v>
      </c>
      <c r="K6" s="8" t="s">
        <v>57</v>
      </c>
      <c r="L6" s="9" t="s">
        <v>46</v>
      </c>
      <c r="M6" s="9" t="n">
        <f aca="false">COUNTIF(Composants!A:A,A6)</f>
        <v>2</v>
      </c>
    </row>
    <row r="7" customFormat="false" ht="15" hidden="false" customHeight="true" outlineLevel="0" collapsed="false">
      <c r="A7" s="10" t="n">
        <v>263512</v>
      </c>
      <c r="B7" s="10" t="s">
        <v>47</v>
      </c>
      <c r="C7" s="10" t="s">
        <v>58</v>
      </c>
      <c r="D7" s="11" t="s">
        <v>44</v>
      </c>
      <c r="E7" s="11" t="s">
        <v>49</v>
      </c>
      <c r="F7" s="11" t="n">
        <v>1</v>
      </c>
      <c r="G7" s="11"/>
      <c r="H7" s="11"/>
      <c r="I7" s="11"/>
      <c r="J7" s="11"/>
      <c r="K7" s="12" t="s">
        <v>59</v>
      </c>
      <c r="L7" s="13" t="s">
        <v>51</v>
      </c>
      <c r="M7" s="13" t="n">
        <f aca="false">COUNTIF(Composants!A:A,A7)</f>
        <v>2</v>
      </c>
    </row>
    <row r="8" customFormat="false" ht="15" hidden="false" customHeight="true" outlineLevel="0" collapsed="false">
      <c r="A8" s="6" t="n">
        <v>250079</v>
      </c>
      <c r="B8" s="6" t="s">
        <v>47</v>
      </c>
      <c r="C8" s="6" t="s">
        <v>60</v>
      </c>
      <c r="D8" s="7" t="s">
        <v>44</v>
      </c>
      <c r="E8" s="7" t="s">
        <v>49</v>
      </c>
      <c r="F8" s="7" t="n">
        <v>1</v>
      </c>
      <c r="G8" s="7" t="n">
        <v>25</v>
      </c>
      <c r="H8" s="7" t="n">
        <v>35</v>
      </c>
      <c r="I8" s="7" t="n">
        <v>55</v>
      </c>
      <c r="J8" s="7" t="n">
        <v>75</v>
      </c>
      <c r="K8" s="8" t="s">
        <v>61</v>
      </c>
      <c r="L8" s="9" t="s">
        <v>46</v>
      </c>
      <c r="M8" s="9" t="n">
        <f aca="false">COUNTIF(Composants!A:A,A8)</f>
        <v>2</v>
      </c>
    </row>
    <row r="9" customFormat="false" ht="15" hidden="false" customHeight="true" outlineLevel="0" collapsed="false">
      <c r="A9" s="6" t="n">
        <v>6888</v>
      </c>
      <c r="B9" s="6" t="s">
        <v>47</v>
      </c>
      <c r="C9" s="6" t="s">
        <v>62</v>
      </c>
      <c r="D9" s="7" t="s">
        <v>49</v>
      </c>
      <c r="E9" s="7" t="s">
        <v>44</v>
      </c>
      <c r="F9" s="7" t="n">
        <v>1</v>
      </c>
      <c r="G9" s="7"/>
      <c r="H9" s="7" t="n">
        <v>45</v>
      </c>
      <c r="I9" s="7" t="n">
        <v>65</v>
      </c>
      <c r="J9" s="7" t="n">
        <v>85</v>
      </c>
      <c r="K9" s="8" t="s">
        <v>63</v>
      </c>
      <c r="L9" s="9" t="s">
        <v>46</v>
      </c>
      <c r="M9" s="9" t="n">
        <f aca="false">COUNTIF(Composants!A:A,A9)</f>
        <v>2</v>
      </c>
      <c r="N9" s="0" t="n">
        <v>1</v>
      </c>
    </row>
    <row r="10" customFormat="false" ht="15" hidden="false" customHeight="true" outlineLevel="0" collapsed="false">
      <c r="A10" s="6" t="n">
        <v>2679</v>
      </c>
      <c r="B10" s="6" t="s">
        <v>47</v>
      </c>
      <c r="C10" s="6" t="s">
        <v>64</v>
      </c>
      <c r="D10" s="7" t="s">
        <v>49</v>
      </c>
      <c r="E10" s="7" t="s">
        <v>44</v>
      </c>
      <c r="F10" s="7" t="n">
        <v>1</v>
      </c>
      <c r="G10" s="7"/>
      <c r="H10" s="7" t="n">
        <v>45</v>
      </c>
      <c r="I10" s="7" t="n">
        <v>65</v>
      </c>
      <c r="J10" s="7" t="n">
        <v>85</v>
      </c>
      <c r="K10" s="8" t="s">
        <v>63</v>
      </c>
      <c r="L10" s="9" t="s">
        <v>46</v>
      </c>
      <c r="M10" s="9" t="n">
        <f aca="false">COUNTIF(Composants!A:A,A10)</f>
        <v>1</v>
      </c>
      <c r="N10" s="0" t="n">
        <v>1</v>
      </c>
    </row>
    <row r="11" customFormat="false" ht="15" hidden="false" customHeight="true" outlineLevel="0" collapsed="false">
      <c r="A11" s="6" t="n">
        <v>2681</v>
      </c>
      <c r="B11" s="6" t="s">
        <v>47</v>
      </c>
      <c r="C11" s="6" t="s">
        <v>65</v>
      </c>
      <c r="D11" s="7" t="s">
        <v>49</v>
      </c>
      <c r="E11" s="7" t="s">
        <v>44</v>
      </c>
      <c r="F11" s="7" t="n">
        <v>1</v>
      </c>
      <c r="G11" s="7"/>
      <c r="H11" s="7" t="n">
        <v>45</v>
      </c>
      <c r="I11" s="7" t="n">
        <v>65</v>
      </c>
      <c r="J11" s="7" t="n">
        <v>85</v>
      </c>
      <c r="K11" s="8" t="s">
        <v>63</v>
      </c>
      <c r="L11" s="9" t="s">
        <v>46</v>
      </c>
      <c r="M11" s="9" t="n">
        <f aca="false">COUNTIF(Composants!A:A,A11)</f>
        <v>1</v>
      </c>
      <c r="N11" s="0" t="n">
        <v>1</v>
      </c>
    </row>
    <row r="12" customFormat="false" ht="15" hidden="false" customHeight="true" outlineLevel="0" collapsed="false">
      <c r="A12" s="6" t="n">
        <v>12224</v>
      </c>
      <c r="B12" s="6" t="s">
        <v>47</v>
      </c>
      <c r="C12" s="6" t="s">
        <v>66</v>
      </c>
      <c r="D12" s="7" t="s">
        <v>49</v>
      </c>
      <c r="E12" s="7" t="s">
        <v>49</v>
      </c>
      <c r="F12" s="7" t="n">
        <v>1</v>
      </c>
      <c r="G12" s="7" t="n">
        <v>1</v>
      </c>
      <c r="H12" s="7" t="n">
        <v>45</v>
      </c>
      <c r="I12" s="7" t="n">
        <v>65</v>
      </c>
      <c r="J12" s="7" t="n">
        <v>85</v>
      </c>
      <c r="K12" s="8" t="s">
        <v>67</v>
      </c>
      <c r="L12" s="9" t="s">
        <v>46</v>
      </c>
      <c r="M12" s="9" t="n">
        <f aca="false">COUNTIF(Composants!A:A,A12)</f>
        <v>2</v>
      </c>
      <c r="N12" s="0" t="n">
        <v>1</v>
      </c>
    </row>
    <row r="13" customFormat="false" ht="15" hidden="false" customHeight="true" outlineLevel="0" collapsed="false">
      <c r="A13" s="6" t="n">
        <v>17197</v>
      </c>
      <c r="B13" s="6" t="s">
        <v>47</v>
      </c>
      <c r="C13" s="6" t="s">
        <v>68</v>
      </c>
      <c r="D13" s="7" t="s">
        <v>49</v>
      </c>
      <c r="E13" s="7" t="s">
        <v>49</v>
      </c>
      <c r="F13" s="7" t="n">
        <v>1</v>
      </c>
      <c r="G13" s="7" t="n">
        <v>1</v>
      </c>
      <c r="H13" s="7" t="n">
        <v>45</v>
      </c>
      <c r="I13" s="7" t="n">
        <v>65</v>
      </c>
      <c r="J13" s="7" t="n">
        <v>85</v>
      </c>
      <c r="K13" s="8" t="s">
        <v>67</v>
      </c>
      <c r="L13" s="9" t="s">
        <v>46</v>
      </c>
      <c r="M13" s="9" t="n">
        <f aca="false">COUNTIF(Composants!A:A,A13)</f>
        <v>2</v>
      </c>
      <c r="N13" s="0" t="n">
        <v>1</v>
      </c>
    </row>
    <row r="14" customFormat="false" ht="15" hidden="false" customHeight="true" outlineLevel="0" collapsed="false">
      <c r="A14" s="6" t="n">
        <v>6290</v>
      </c>
      <c r="B14" s="6" t="s">
        <v>47</v>
      </c>
      <c r="C14" s="6" t="s">
        <v>69</v>
      </c>
      <c r="D14" s="7" t="s">
        <v>49</v>
      </c>
      <c r="E14" s="7" t="s">
        <v>49</v>
      </c>
      <c r="F14" s="7" t="n">
        <v>1</v>
      </c>
      <c r="G14" s="7" t="n">
        <v>1</v>
      </c>
      <c r="H14" s="7" t="n">
        <v>45</v>
      </c>
      <c r="I14" s="7" t="n">
        <v>65</v>
      </c>
      <c r="J14" s="7" t="n">
        <v>85</v>
      </c>
      <c r="K14" s="8" t="s">
        <v>67</v>
      </c>
      <c r="L14" s="9" t="s">
        <v>46</v>
      </c>
      <c r="M14" s="9" t="n">
        <f aca="false">COUNTIF(Composants!A:A,A14)</f>
        <v>1</v>
      </c>
      <c r="N14" s="0" t="n">
        <v>1</v>
      </c>
    </row>
    <row r="15" customFormat="false" ht="15" hidden="false" customHeight="true" outlineLevel="0" collapsed="false">
      <c r="A15" s="6" t="n">
        <v>787</v>
      </c>
      <c r="B15" s="6" t="s">
        <v>47</v>
      </c>
      <c r="C15" s="6" t="s">
        <v>70</v>
      </c>
      <c r="D15" s="7" t="s">
        <v>49</v>
      </c>
      <c r="E15" s="7" t="s">
        <v>49</v>
      </c>
      <c r="F15" s="7" t="n">
        <v>1</v>
      </c>
      <c r="G15" s="7" t="n">
        <v>1</v>
      </c>
      <c r="H15" s="7" t="n">
        <v>45</v>
      </c>
      <c r="I15" s="7" t="n">
        <v>65</v>
      </c>
      <c r="J15" s="7" t="n">
        <v>85</v>
      </c>
      <c r="K15" s="8" t="s">
        <v>67</v>
      </c>
      <c r="L15" s="9" t="s">
        <v>46</v>
      </c>
      <c r="M15" s="9" t="n">
        <f aca="false">COUNTIF(Composants!A:A,A15)</f>
        <v>1</v>
      </c>
      <c r="N15" s="0" t="n">
        <v>1</v>
      </c>
    </row>
    <row r="16" customFormat="false" ht="15" hidden="false" customHeight="true" outlineLevel="0" collapsed="false">
      <c r="A16" s="6" t="n">
        <v>2680</v>
      </c>
      <c r="B16" s="6" t="s">
        <v>47</v>
      </c>
      <c r="C16" s="6" t="s">
        <v>71</v>
      </c>
      <c r="D16" s="7" t="s">
        <v>49</v>
      </c>
      <c r="E16" s="7" t="s">
        <v>44</v>
      </c>
      <c r="F16" s="7" t="n">
        <v>1</v>
      </c>
      <c r="G16" s="7"/>
      <c r="H16" s="7" t="n">
        <v>50</v>
      </c>
      <c r="I16" s="7" t="n">
        <v>70</v>
      </c>
      <c r="J16" s="7" t="n">
        <v>90</v>
      </c>
      <c r="K16" s="8" t="s">
        <v>72</v>
      </c>
      <c r="L16" s="9" t="s">
        <v>46</v>
      </c>
      <c r="M16" s="9" t="n">
        <f aca="false">COUNTIF(Composants!A:A,A16)</f>
        <v>2</v>
      </c>
      <c r="N16" s="0" t="n">
        <v>30</v>
      </c>
    </row>
    <row r="17" customFormat="false" ht="15" hidden="false" customHeight="true" outlineLevel="0" collapsed="false">
      <c r="A17" s="6" t="n">
        <v>5472</v>
      </c>
      <c r="B17" s="6" t="s">
        <v>47</v>
      </c>
      <c r="C17" s="6" t="s">
        <v>73</v>
      </c>
      <c r="D17" s="7" t="s">
        <v>49</v>
      </c>
      <c r="E17" s="7" t="s">
        <v>49</v>
      </c>
      <c r="F17" s="7" t="n">
        <v>1</v>
      </c>
      <c r="G17" s="7" t="n">
        <v>10</v>
      </c>
      <c r="H17" s="7" t="n">
        <v>50</v>
      </c>
      <c r="I17" s="7" t="n">
        <v>70</v>
      </c>
      <c r="J17" s="7" t="n">
        <v>90</v>
      </c>
      <c r="K17" s="8" t="s">
        <v>74</v>
      </c>
      <c r="L17" s="9" t="s">
        <v>46</v>
      </c>
      <c r="M17" s="9" t="n">
        <f aca="false">COUNTIF(Composants!A:A,A17)</f>
        <v>1</v>
      </c>
      <c r="N17" s="0" t="n">
        <v>10</v>
      </c>
    </row>
    <row r="18" customFormat="false" ht="15" hidden="false" customHeight="true" outlineLevel="0" collapsed="false">
      <c r="A18" s="6" t="n">
        <v>5473</v>
      </c>
      <c r="B18" s="6" t="s">
        <v>47</v>
      </c>
      <c r="C18" s="6" t="s">
        <v>75</v>
      </c>
      <c r="D18" s="7" t="s">
        <v>49</v>
      </c>
      <c r="E18" s="7" t="s">
        <v>49</v>
      </c>
      <c r="F18" s="7" t="n">
        <v>1</v>
      </c>
      <c r="G18" s="7" t="n">
        <v>20</v>
      </c>
      <c r="H18" s="7" t="n">
        <v>60</v>
      </c>
      <c r="I18" s="7" t="n">
        <v>80</v>
      </c>
      <c r="J18" s="7" t="n">
        <v>100</v>
      </c>
      <c r="K18" s="8" t="s">
        <v>76</v>
      </c>
      <c r="L18" s="9" t="s">
        <v>46</v>
      </c>
      <c r="M18" s="9" t="n">
        <f aca="false">COUNTIF(Composants!A:A,A18)</f>
        <v>1</v>
      </c>
      <c r="N18" s="0" t="n">
        <v>20</v>
      </c>
    </row>
    <row r="19" customFormat="false" ht="15" hidden="false" customHeight="true" outlineLevel="0" collapsed="false">
      <c r="A19" s="6" t="n">
        <v>2888</v>
      </c>
      <c r="B19" s="6" t="s">
        <v>47</v>
      </c>
      <c r="C19" s="6" t="s">
        <v>77</v>
      </c>
      <c r="D19" s="7" t="s">
        <v>49</v>
      </c>
      <c r="E19" s="7" t="s">
        <v>49</v>
      </c>
      <c r="F19" s="7" t="n">
        <v>1</v>
      </c>
      <c r="G19" s="7" t="n">
        <v>25</v>
      </c>
      <c r="H19" s="7" t="n">
        <v>60</v>
      </c>
      <c r="I19" s="7" t="n">
        <v>80</v>
      </c>
      <c r="J19" s="7" t="n">
        <v>100</v>
      </c>
      <c r="K19" s="8" t="s">
        <v>78</v>
      </c>
      <c r="L19" s="9" t="s">
        <v>46</v>
      </c>
      <c r="M19" s="9" t="n">
        <f aca="false">COUNTIF(Composants!A:A,A19)</f>
        <v>2</v>
      </c>
      <c r="N19" s="0" t="n">
        <v>25</v>
      </c>
    </row>
    <row r="20" customFormat="false" ht="15" hidden="false" customHeight="true" outlineLevel="0" collapsed="false">
      <c r="A20" s="6" t="n">
        <v>17198</v>
      </c>
      <c r="B20" s="6" t="s">
        <v>47</v>
      </c>
      <c r="C20" s="6" t="s">
        <v>79</v>
      </c>
      <c r="D20" s="7" t="s">
        <v>49</v>
      </c>
      <c r="E20" s="7" t="s">
        <v>49</v>
      </c>
      <c r="F20" s="7" t="n">
        <v>1</v>
      </c>
      <c r="G20" s="7" t="n">
        <v>35</v>
      </c>
      <c r="H20" s="7" t="n">
        <v>75</v>
      </c>
      <c r="I20" s="7" t="n">
        <v>95</v>
      </c>
      <c r="J20" s="7" t="n">
        <v>115</v>
      </c>
      <c r="K20" s="8" t="s">
        <v>80</v>
      </c>
      <c r="L20" s="9" t="s">
        <v>46</v>
      </c>
      <c r="M20" s="9" t="n">
        <f aca="false">COUNTIF(Composants!A:A,A20)</f>
        <v>4</v>
      </c>
      <c r="N20" s="0" t="n">
        <v>35</v>
      </c>
    </row>
    <row r="21" customFormat="false" ht="15" hidden="false" customHeight="true" outlineLevel="0" collapsed="false">
      <c r="A21" s="6" t="n">
        <v>5474</v>
      </c>
      <c r="B21" s="6" t="s">
        <v>47</v>
      </c>
      <c r="C21" s="6" t="s">
        <v>81</v>
      </c>
      <c r="D21" s="7" t="s">
        <v>49</v>
      </c>
      <c r="E21" s="7" t="s">
        <v>49</v>
      </c>
      <c r="F21" s="7" t="n">
        <v>2</v>
      </c>
      <c r="G21" s="7" t="n">
        <v>35</v>
      </c>
      <c r="H21" s="7" t="n">
        <v>75</v>
      </c>
      <c r="I21" s="7" t="n">
        <v>95</v>
      </c>
      <c r="J21" s="7" t="n">
        <v>115</v>
      </c>
      <c r="K21" s="8" t="s">
        <v>80</v>
      </c>
      <c r="L21" s="9" t="s">
        <v>46</v>
      </c>
      <c r="M21" s="9" t="n">
        <f aca="false">COUNTIF(Composants!A:A,A21)</f>
        <v>2</v>
      </c>
      <c r="N21" s="0" t="n">
        <v>35</v>
      </c>
    </row>
    <row r="22" customFormat="false" ht="15" hidden="false" customHeight="true" outlineLevel="0" collapsed="false">
      <c r="A22" s="6" t="n">
        <v>250080</v>
      </c>
      <c r="B22" s="6" t="s">
        <v>47</v>
      </c>
      <c r="C22" s="6" t="s">
        <v>82</v>
      </c>
      <c r="D22" s="7" t="s">
        <v>44</v>
      </c>
      <c r="E22" s="7" t="s">
        <v>49</v>
      </c>
      <c r="F22" s="7" t="n">
        <v>1</v>
      </c>
      <c r="G22" s="7" t="n">
        <v>75</v>
      </c>
      <c r="H22" s="7" t="n">
        <v>75</v>
      </c>
      <c r="I22" s="7" t="n">
        <v>93</v>
      </c>
      <c r="J22" s="7" t="n">
        <v>110</v>
      </c>
      <c r="K22" s="8" t="s">
        <v>83</v>
      </c>
      <c r="L22" s="9" t="s">
        <v>46</v>
      </c>
      <c r="M22" s="9" t="n">
        <f aca="false">COUNTIF(Composants!A:A,A22)</f>
        <v>2</v>
      </c>
    </row>
    <row r="23" customFormat="false" ht="15" hidden="false" customHeight="true" outlineLevel="0" collapsed="false">
      <c r="A23" s="6" t="n">
        <v>6890</v>
      </c>
      <c r="B23" s="6" t="s">
        <v>47</v>
      </c>
      <c r="C23" s="6" t="s">
        <v>84</v>
      </c>
      <c r="D23" s="7" t="s">
        <v>49</v>
      </c>
      <c r="E23" s="7" t="s">
        <v>49</v>
      </c>
      <c r="F23" s="7" t="n">
        <v>1</v>
      </c>
      <c r="G23" s="7" t="n">
        <v>40</v>
      </c>
      <c r="H23" s="7" t="n">
        <v>80</v>
      </c>
      <c r="I23" s="7" t="n">
        <v>100</v>
      </c>
      <c r="J23" s="7" t="n">
        <v>120</v>
      </c>
      <c r="K23" s="8" t="s">
        <v>85</v>
      </c>
      <c r="L23" s="9" t="s">
        <v>46</v>
      </c>
      <c r="M23" s="9" t="n">
        <f aca="false">COUNTIF(Composants!A:A,A23)</f>
        <v>1</v>
      </c>
      <c r="N23" s="0" t="n">
        <v>40</v>
      </c>
    </row>
    <row r="24" customFormat="false" ht="15" hidden="false" customHeight="true" outlineLevel="0" collapsed="false">
      <c r="A24" s="10" t="n">
        <v>249872</v>
      </c>
      <c r="B24" s="10" t="s">
        <v>47</v>
      </c>
      <c r="C24" s="10" t="s">
        <v>86</v>
      </c>
      <c r="D24" s="11" t="s">
        <v>44</v>
      </c>
      <c r="E24" s="11" t="s">
        <v>49</v>
      </c>
      <c r="F24" s="11" t="n">
        <v>1</v>
      </c>
      <c r="G24" s="11"/>
      <c r="H24" s="11"/>
      <c r="I24" s="11"/>
      <c r="J24" s="11"/>
      <c r="K24" s="12" t="s">
        <v>87</v>
      </c>
      <c r="L24" s="13" t="s">
        <v>51</v>
      </c>
      <c r="M24" s="13" t="n">
        <f aca="false">COUNTIF(Composants!A:A,A24)</f>
        <v>3</v>
      </c>
    </row>
    <row r="25" customFormat="false" ht="15" hidden="false" customHeight="true" outlineLevel="0" collapsed="false">
      <c r="A25" s="10" t="n">
        <v>249866</v>
      </c>
      <c r="B25" s="10" t="s">
        <v>47</v>
      </c>
      <c r="C25" s="10" t="s">
        <v>88</v>
      </c>
      <c r="D25" s="11" t="s">
        <v>44</v>
      </c>
      <c r="E25" s="11" t="s">
        <v>49</v>
      </c>
      <c r="F25" s="11" t="n">
        <v>1</v>
      </c>
      <c r="G25" s="11"/>
      <c r="H25" s="11"/>
      <c r="I25" s="11"/>
      <c r="J25" s="11"/>
      <c r="K25" s="12" t="s">
        <v>89</v>
      </c>
      <c r="L25" s="13" t="s">
        <v>51</v>
      </c>
      <c r="M25" s="13" t="n">
        <f aca="false">COUNTIF(Composants!A:A,A25)</f>
        <v>2</v>
      </c>
    </row>
    <row r="26" customFormat="false" ht="15" hidden="false" customHeight="true" outlineLevel="0" collapsed="false">
      <c r="A26" s="6" t="n">
        <v>5525</v>
      </c>
      <c r="B26" s="6" t="s">
        <v>47</v>
      </c>
      <c r="C26" s="6" t="s">
        <v>90</v>
      </c>
      <c r="D26" s="7" t="s">
        <v>49</v>
      </c>
      <c r="E26" s="7" t="s">
        <v>44</v>
      </c>
      <c r="F26" s="7" t="n">
        <v>1</v>
      </c>
      <c r="G26" s="7"/>
      <c r="H26" s="7" t="n">
        <v>90</v>
      </c>
      <c r="I26" s="7" t="n">
        <v>110</v>
      </c>
      <c r="J26" s="7" t="n">
        <v>130</v>
      </c>
      <c r="K26" s="8" t="s">
        <v>91</v>
      </c>
      <c r="L26" s="9" t="s">
        <v>46</v>
      </c>
      <c r="M26" s="9" t="n">
        <f aca="false">COUNTIF(Composants!A:A,A26)</f>
        <v>2</v>
      </c>
      <c r="N26" s="0" t="n">
        <v>50</v>
      </c>
    </row>
    <row r="27" customFormat="false" ht="15" hidden="false" customHeight="true" outlineLevel="0" collapsed="false">
      <c r="A27" s="6" t="n">
        <v>2684</v>
      </c>
      <c r="B27" s="6" t="s">
        <v>47</v>
      </c>
      <c r="C27" s="6" t="s">
        <v>92</v>
      </c>
      <c r="D27" s="7" t="s">
        <v>49</v>
      </c>
      <c r="E27" s="7" t="s">
        <v>44</v>
      </c>
      <c r="F27" s="7" t="n">
        <v>1</v>
      </c>
      <c r="G27" s="7"/>
      <c r="H27" s="7" t="n">
        <v>90</v>
      </c>
      <c r="I27" s="7" t="n">
        <v>110</v>
      </c>
      <c r="J27" s="7" t="n">
        <v>130</v>
      </c>
      <c r="K27" s="8" t="s">
        <v>91</v>
      </c>
      <c r="L27" s="9" t="s">
        <v>46</v>
      </c>
      <c r="M27" s="9" t="n">
        <f aca="false">COUNTIF(Composants!A:A,A27)</f>
        <v>1</v>
      </c>
      <c r="N27" s="0" t="n">
        <v>65</v>
      </c>
    </row>
    <row r="28" customFormat="false" ht="15" hidden="false" customHeight="true" outlineLevel="0" collapsed="false">
      <c r="A28" s="6" t="n">
        <v>5477</v>
      </c>
      <c r="B28" s="6" t="s">
        <v>47</v>
      </c>
      <c r="C28" s="6" t="s">
        <v>93</v>
      </c>
      <c r="D28" s="7" t="s">
        <v>49</v>
      </c>
      <c r="E28" s="7" t="s">
        <v>49</v>
      </c>
      <c r="F28" s="7" t="n">
        <v>2</v>
      </c>
      <c r="G28" s="7" t="n">
        <v>50</v>
      </c>
      <c r="H28" s="7" t="n">
        <v>90</v>
      </c>
      <c r="I28" s="7" t="n">
        <v>110</v>
      </c>
      <c r="J28" s="7" t="n">
        <v>130</v>
      </c>
      <c r="K28" s="8" t="s">
        <v>94</v>
      </c>
      <c r="L28" s="9" t="s">
        <v>46</v>
      </c>
      <c r="M28" s="9" t="n">
        <f aca="false">COUNTIF(Composants!A:A,A28)</f>
        <v>2</v>
      </c>
      <c r="N28" s="0" t="n">
        <v>50</v>
      </c>
    </row>
    <row r="29" customFormat="false" ht="15" hidden="false" customHeight="true" outlineLevel="0" collapsed="false">
      <c r="A29" s="6" t="n">
        <v>6316</v>
      </c>
      <c r="B29" s="6" t="s">
        <v>47</v>
      </c>
      <c r="C29" s="6" t="s">
        <v>95</v>
      </c>
      <c r="D29" s="7" t="s">
        <v>49</v>
      </c>
      <c r="E29" s="7" t="s">
        <v>49</v>
      </c>
      <c r="F29" s="7" t="n">
        <v>1</v>
      </c>
      <c r="G29" s="7" t="n">
        <v>50</v>
      </c>
      <c r="H29" s="7" t="n">
        <v>90</v>
      </c>
      <c r="I29" s="7" t="n">
        <v>110</v>
      </c>
      <c r="J29" s="7" t="n">
        <v>130</v>
      </c>
      <c r="K29" s="8" t="s">
        <v>94</v>
      </c>
      <c r="L29" s="9" t="s">
        <v>46</v>
      </c>
      <c r="M29" s="9" t="n">
        <f aca="false">COUNTIF(Composants!A:A,A29)</f>
        <v>2</v>
      </c>
      <c r="N29" s="0" t="n">
        <v>50</v>
      </c>
    </row>
    <row r="30" customFormat="false" ht="15" hidden="false" customHeight="true" outlineLevel="0" collapsed="false">
      <c r="A30" s="6" t="n">
        <v>5476</v>
      </c>
      <c r="B30" s="6" t="s">
        <v>47</v>
      </c>
      <c r="C30" s="6" t="s">
        <v>96</v>
      </c>
      <c r="D30" s="7" t="s">
        <v>49</v>
      </c>
      <c r="E30" s="7" t="s">
        <v>49</v>
      </c>
      <c r="F30" s="7" t="n">
        <v>2</v>
      </c>
      <c r="G30" s="7" t="n">
        <v>50</v>
      </c>
      <c r="H30" s="7" t="n">
        <v>90</v>
      </c>
      <c r="I30" s="7" t="n">
        <v>110</v>
      </c>
      <c r="J30" s="7" t="n">
        <v>130</v>
      </c>
      <c r="K30" s="8" t="s">
        <v>94</v>
      </c>
      <c r="L30" s="9" t="s">
        <v>46</v>
      </c>
      <c r="M30" s="9" t="n">
        <f aca="false">COUNTIF(Composants!A:A,A30)</f>
        <v>2</v>
      </c>
      <c r="N30" s="0" t="n">
        <v>50</v>
      </c>
    </row>
    <row r="31" customFormat="false" ht="15" hidden="false" customHeight="true" outlineLevel="0" collapsed="false">
      <c r="A31" s="6" t="n">
        <v>4592</v>
      </c>
      <c r="B31" s="6" t="s">
        <v>47</v>
      </c>
      <c r="C31" s="6" t="s">
        <v>97</v>
      </c>
      <c r="D31" s="7" t="s">
        <v>49</v>
      </c>
      <c r="E31" s="7" t="s">
        <v>49</v>
      </c>
      <c r="F31" s="7" t="n">
        <v>1</v>
      </c>
      <c r="G31" s="7" t="n">
        <v>50</v>
      </c>
      <c r="H31" s="7" t="n">
        <v>90</v>
      </c>
      <c r="I31" s="7" t="n">
        <v>110</v>
      </c>
      <c r="J31" s="7" t="n">
        <v>130</v>
      </c>
      <c r="K31" s="8" t="s">
        <v>94</v>
      </c>
      <c r="L31" s="9" t="s">
        <v>46</v>
      </c>
      <c r="M31" s="9" t="n">
        <f aca="false">COUNTIF(Composants!A:A,A31)</f>
        <v>1</v>
      </c>
      <c r="N31" s="0" t="n">
        <v>50</v>
      </c>
    </row>
    <row r="32" customFormat="false" ht="15" hidden="false" customHeight="true" outlineLevel="0" collapsed="false">
      <c r="A32" s="6" t="n">
        <v>5095</v>
      </c>
      <c r="B32" s="6" t="s">
        <v>47</v>
      </c>
      <c r="C32" s="6" t="s">
        <v>98</v>
      </c>
      <c r="D32" s="7" t="s">
        <v>49</v>
      </c>
      <c r="E32" s="7" t="s">
        <v>49</v>
      </c>
      <c r="F32" s="7" t="n">
        <v>1</v>
      </c>
      <c r="G32" s="7" t="n">
        <v>50</v>
      </c>
      <c r="H32" s="7" t="n">
        <v>90</v>
      </c>
      <c r="I32" s="7" t="n">
        <v>110</v>
      </c>
      <c r="J32" s="7" t="n">
        <v>130</v>
      </c>
      <c r="K32" s="8" t="s">
        <v>94</v>
      </c>
      <c r="L32" s="9" t="s">
        <v>46</v>
      </c>
      <c r="M32" s="9" t="n">
        <f aca="false">COUNTIF(Composants!A:A,A32)</f>
        <v>1</v>
      </c>
      <c r="N32" s="0" t="n">
        <v>50</v>
      </c>
    </row>
    <row r="33" customFormat="false" ht="15" hidden="false" customHeight="true" outlineLevel="0" collapsed="false">
      <c r="A33" s="6" t="n">
        <v>724</v>
      </c>
      <c r="B33" s="6" t="s">
        <v>47</v>
      </c>
      <c r="C33" s="6" t="s">
        <v>99</v>
      </c>
      <c r="D33" s="7" t="s">
        <v>49</v>
      </c>
      <c r="E33" s="7" t="s">
        <v>49</v>
      </c>
      <c r="F33" s="7" t="n">
        <v>1</v>
      </c>
      <c r="G33" s="7" t="n">
        <v>50</v>
      </c>
      <c r="H33" s="7" t="n">
        <v>90</v>
      </c>
      <c r="I33" s="7" t="n">
        <v>110</v>
      </c>
      <c r="J33" s="7" t="n">
        <v>130</v>
      </c>
      <c r="K33" s="8" t="s">
        <v>94</v>
      </c>
      <c r="L33" s="9" t="s">
        <v>46</v>
      </c>
      <c r="M33" s="9" t="n">
        <f aca="false">COUNTIF(Composants!A:A,A33)</f>
        <v>2</v>
      </c>
      <c r="N33" s="0" t="n">
        <v>50</v>
      </c>
    </row>
    <row r="34" customFormat="false" ht="15" hidden="false" customHeight="true" outlineLevel="0" collapsed="false">
      <c r="A34" s="6" t="n">
        <v>279961</v>
      </c>
      <c r="B34" s="6" t="s">
        <v>47</v>
      </c>
      <c r="C34" s="6" t="s">
        <v>100</v>
      </c>
      <c r="D34" s="7" t="s">
        <v>44</v>
      </c>
      <c r="E34" s="7" t="s">
        <v>49</v>
      </c>
      <c r="F34" s="7" t="n">
        <v>1</v>
      </c>
      <c r="G34" s="7" t="n">
        <v>90</v>
      </c>
      <c r="H34" s="7" t="n">
        <v>90</v>
      </c>
      <c r="I34" s="7" t="n">
        <v>115</v>
      </c>
      <c r="J34" s="7" t="n">
        <v>140</v>
      </c>
      <c r="K34" s="8" t="s">
        <v>101</v>
      </c>
      <c r="L34" s="9" t="s">
        <v>46</v>
      </c>
      <c r="M34" s="9" t="n">
        <f aca="false">COUNTIF(Composants!A:A,A34)</f>
        <v>1</v>
      </c>
    </row>
    <row r="35" customFormat="false" ht="15" hidden="false" customHeight="true" outlineLevel="0" collapsed="false">
      <c r="A35" s="6" t="n">
        <v>3220</v>
      </c>
      <c r="B35" s="6" t="s">
        <v>47</v>
      </c>
      <c r="C35" s="6" t="s">
        <v>102</v>
      </c>
      <c r="D35" s="7" t="s">
        <v>49</v>
      </c>
      <c r="E35" s="7" t="s">
        <v>49</v>
      </c>
      <c r="F35" s="7" t="n">
        <v>2</v>
      </c>
      <c r="G35" s="7" t="n">
        <v>60</v>
      </c>
      <c r="H35" s="7" t="n">
        <v>100</v>
      </c>
      <c r="I35" s="7" t="n">
        <v>120</v>
      </c>
      <c r="J35" s="7" t="n">
        <v>140</v>
      </c>
      <c r="K35" s="8" t="s">
        <v>103</v>
      </c>
      <c r="L35" s="9" t="s">
        <v>46</v>
      </c>
      <c r="M35" s="9" t="n">
        <f aca="false">COUNTIF(Composants!A:A,A35)</f>
        <v>3</v>
      </c>
      <c r="N35" s="0" t="n">
        <v>60</v>
      </c>
    </row>
    <row r="36" customFormat="false" ht="15" hidden="false" customHeight="true" outlineLevel="0" collapsed="false">
      <c r="A36" s="6" t="n">
        <v>7676</v>
      </c>
      <c r="B36" s="6" t="s">
        <v>47</v>
      </c>
      <c r="C36" s="6" t="s">
        <v>104</v>
      </c>
      <c r="D36" s="7" t="s">
        <v>49</v>
      </c>
      <c r="E36" s="7" t="s">
        <v>49</v>
      </c>
      <c r="F36" s="7" t="n">
        <v>1</v>
      </c>
      <c r="G36" s="7" t="n">
        <v>60</v>
      </c>
      <c r="H36" s="7" t="n">
        <v>100</v>
      </c>
      <c r="I36" s="7" t="n">
        <v>120</v>
      </c>
      <c r="J36" s="7" t="n">
        <v>140</v>
      </c>
      <c r="K36" s="8" t="s">
        <v>103</v>
      </c>
      <c r="L36" s="9" t="s">
        <v>46</v>
      </c>
      <c r="M36" s="9" t="n">
        <f aca="false">COUNTIF(Composants!A:A,A36)</f>
        <v>2</v>
      </c>
      <c r="N36" s="0" t="n">
        <v>60</v>
      </c>
    </row>
    <row r="37" customFormat="false" ht="15" hidden="false" customHeight="true" outlineLevel="0" collapsed="false">
      <c r="A37" s="6" t="n">
        <v>2683</v>
      </c>
      <c r="B37" s="6" t="s">
        <v>47</v>
      </c>
      <c r="C37" s="6" t="s">
        <v>105</v>
      </c>
      <c r="D37" s="7" t="s">
        <v>49</v>
      </c>
      <c r="E37" s="7" t="s">
        <v>44</v>
      </c>
      <c r="F37" s="7" t="n">
        <v>1</v>
      </c>
      <c r="G37" s="7"/>
      <c r="H37" s="7" t="n">
        <v>115</v>
      </c>
      <c r="I37" s="7" t="n">
        <v>135</v>
      </c>
      <c r="J37" s="7" t="n">
        <v>155</v>
      </c>
      <c r="K37" s="8" t="s">
        <v>106</v>
      </c>
      <c r="L37" s="9" t="s">
        <v>46</v>
      </c>
      <c r="M37" s="9" t="n">
        <f aca="false">COUNTIF(Composants!A:A,A37)</f>
        <v>2</v>
      </c>
      <c r="N37" s="0" t="n">
        <v>75</v>
      </c>
    </row>
    <row r="38" customFormat="false" ht="15" hidden="false" customHeight="true" outlineLevel="0" collapsed="false">
      <c r="A38" s="6" t="n">
        <v>250077</v>
      </c>
      <c r="B38" s="6" t="s">
        <v>47</v>
      </c>
      <c r="C38" s="6" t="s">
        <v>107</v>
      </c>
      <c r="D38" s="7" t="s">
        <v>44</v>
      </c>
      <c r="E38" s="7" t="s">
        <v>49</v>
      </c>
      <c r="F38" s="7" t="n">
        <v>1</v>
      </c>
      <c r="G38" s="7" t="n">
        <v>75</v>
      </c>
      <c r="H38" s="7" t="n">
        <v>115</v>
      </c>
      <c r="I38" s="7" t="n">
        <v>133</v>
      </c>
      <c r="J38" s="7" t="n">
        <v>150</v>
      </c>
      <c r="K38" s="8" t="s">
        <v>108</v>
      </c>
      <c r="L38" s="9" t="s">
        <v>46</v>
      </c>
      <c r="M38" s="9" t="n">
        <f aca="false">COUNTIF(Composants!A:A,A38)</f>
        <v>2</v>
      </c>
    </row>
    <row r="39" customFormat="false" ht="15" hidden="false" customHeight="true" outlineLevel="0" collapsed="false">
      <c r="A39" s="6" t="n">
        <v>733</v>
      </c>
      <c r="B39" s="6" t="s">
        <v>47</v>
      </c>
      <c r="C39" s="6" t="s">
        <v>109</v>
      </c>
      <c r="D39" s="7" t="s">
        <v>49</v>
      </c>
      <c r="E39" s="7" t="s">
        <v>49</v>
      </c>
      <c r="F39" s="7" t="n">
        <v>1</v>
      </c>
      <c r="G39" s="7" t="n">
        <v>75</v>
      </c>
      <c r="H39" s="7" t="n">
        <v>115</v>
      </c>
      <c r="I39" s="7" t="n">
        <v>135</v>
      </c>
      <c r="J39" s="7" t="n">
        <v>155</v>
      </c>
      <c r="K39" s="8" t="s">
        <v>110</v>
      </c>
      <c r="L39" s="9" t="s">
        <v>46</v>
      </c>
      <c r="M39" s="9" t="n">
        <f aca="false">COUNTIF(Composants!A:A,A39)</f>
        <v>3</v>
      </c>
      <c r="N39" s="0" t="n">
        <v>75</v>
      </c>
    </row>
    <row r="40" customFormat="false" ht="15" hidden="false" customHeight="true" outlineLevel="0" collapsed="false">
      <c r="A40" s="6" t="n">
        <v>2687</v>
      </c>
      <c r="B40" s="6" t="s">
        <v>47</v>
      </c>
      <c r="C40" s="6" t="s">
        <v>111</v>
      </c>
      <c r="D40" s="7" t="s">
        <v>49</v>
      </c>
      <c r="E40" s="7" t="s">
        <v>44</v>
      </c>
      <c r="F40" s="7" t="n">
        <v>1</v>
      </c>
      <c r="G40" s="7"/>
      <c r="H40" s="7" t="n">
        <v>120</v>
      </c>
      <c r="I40" s="7" t="n">
        <v>140</v>
      </c>
      <c r="J40" s="7" t="n">
        <v>160</v>
      </c>
      <c r="K40" s="8" t="s">
        <v>112</v>
      </c>
      <c r="L40" s="9" t="s">
        <v>46</v>
      </c>
      <c r="M40" s="9" t="n">
        <f aca="false">COUNTIF(Composants!A:A,A40)</f>
        <v>2</v>
      </c>
      <c r="N40" s="0" t="n">
        <v>110</v>
      </c>
    </row>
    <row r="41" customFormat="false" ht="15" hidden="false" customHeight="true" outlineLevel="0" collapsed="false">
      <c r="A41" s="6" t="n">
        <v>21072</v>
      </c>
      <c r="B41" s="6" t="s">
        <v>47</v>
      </c>
      <c r="C41" s="6" t="s">
        <v>113</v>
      </c>
      <c r="D41" s="7" t="s">
        <v>49</v>
      </c>
      <c r="E41" s="7" t="s">
        <v>49</v>
      </c>
      <c r="F41" s="7" t="n">
        <v>1</v>
      </c>
      <c r="G41" s="7" t="n">
        <v>80</v>
      </c>
      <c r="H41" s="7" t="n">
        <v>120</v>
      </c>
      <c r="I41" s="7" t="n">
        <v>140</v>
      </c>
      <c r="J41" s="7" t="n">
        <v>160</v>
      </c>
      <c r="K41" s="8" t="s">
        <v>114</v>
      </c>
      <c r="L41" s="9" t="s">
        <v>46</v>
      </c>
      <c r="M41" s="9" t="n">
        <f aca="false">COUNTIF(Composants!A:A,A41)</f>
        <v>2</v>
      </c>
      <c r="N41" s="0" t="n">
        <v>80</v>
      </c>
    </row>
    <row r="42" customFormat="false" ht="15" hidden="false" customHeight="true" outlineLevel="0" collapsed="false">
      <c r="A42" s="6" t="n">
        <v>3662</v>
      </c>
      <c r="B42" s="6" t="s">
        <v>47</v>
      </c>
      <c r="C42" s="6" t="s">
        <v>115</v>
      </c>
      <c r="D42" s="7" t="s">
        <v>49</v>
      </c>
      <c r="E42" s="7" t="s">
        <v>49</v>
      </c>
      <c r="F42" s="7" t="n">
        <v>1</v>
      </c>
      <c r="G42" s="7" t="n">
        <v>80</v>
      </c>
      <c r="H42" s="7" t="n">
        <v>120</v>
      </c>
      <c r="I42" s="7" t="n">
        <v>140</v>
      </c>
      <c r="J42" s="7" t="n">
        <v>160</v>
      </c>
      <c r="K42" s="8" t="s">
        <v>114</v>
      </c>
      <c r="L42" s="9" t="s">
        <v>46</v>
      </c>
      <c r="M42" s="9" t="n">
        <f aca="false">COUNTIF(Composants!A:A,A42)</f>
        <v>2</v>
      </c>
      <c r="N42" s="0" t="n">
        <v>80</v>
      </c>
    </row>
    <row r="43" customFormat="false" ht="15" hidden="false" customHeight="true" outlineLevel="0" collapsed="false">
      <c r="A43" s="6" t="n">
        <v>6657</v>
      </c>
      <c r="B43" s="6" t="s">
        <v>47</v>
      </c>
      <c r="C43" s="6" t="s">
        <v>116</v>
      </c>
      <c r="D43" s="7" t="s">
        <v>49</v>
      </c>
      <c r="E43" s="7" t="s">
        <v>49</v>
      </c>
      <c r="F43" s="7" t="n">
        <v>1</v>
      </c>
      <c r="G43" s="7" t="n">
        <v>85</v>
      </c>
      <c r="H43" s="7" t="n">
        <v>125</v>
      </c>
      <c r="I43" s="7" t="n">
        <v>145</v>
      </c>
      <c r="J43" s="7" t="n">
        <v>165</v>
      </c>
      <c r="K43" s="8" t="s">
        <v>117</v>
      </c>
      <c r="L43" s="9" t="s">
        <v>46</v>
      </c>
      <c r="M43" s="9" t="n">
        <f aca="false">COUNTIF(Composants!A:A,A43)</f>
        <v>2</v>
      </c>
      <c r="N43" s="0" t="n">
        <v>85</v>
      </c>
    </row>
    <row r="44" customFormat="false" ht="15" hidden="false" customHeight="true" outlineLevel="0" collapsed="false">
      <c r="A44" s="6" t="n">
        <v>251525</v>
      </c>
      <c r="B44" s="6" t="s">
        <v>47</v>
      </c>
      <c r="C44" s="6" t="s">
        <v>118</v>
      </c>
      <c r="D44" s="7" t="s">
        <v>44</v>
      </c>
      <c r="E44" s="7" t="s">
        <v>49</v>
      </c>
      <c r="F44" s="7" t="n">
        <v>1</v>
      </c>
      <c r="G44" s="7" t="n">
        <v>85</v>
      </c>
      <c r="H44" s="7" t="n">
        <v>125</v>
      </c>
      <c r="I44" s="7" t="n">
        <v>145</v>
      </c>
      <c r="J44" s="7" t="n">
        <v>165</v>
      </c>
      <c r="K44" s="8" t="s">
        <v>117</v>
      </c>
      <c r="L44" s="9" t="s">
        <v>46</v>
      </c>
      <c r="M44" s="9" t="n">
        <f aca="false">COUNTIF(Composants!A:A,A44)</f>
        <v>2</v>
      </c>
    </row>
    <row r="45" customFormat="false" ht="15" hidden="false" customHeight="true" outlineLevel="0" collapsed="false">
      <c r="A45" s="6" t="n">
        <v>2682</v>
      </c>
      <c r="B45" s="6" t="s">
        <v>47</v>
      </c>
      <c r="C45" s="6" t="s">
        <v>119</v>
      </c>
      <c r="D45" s="7" t="s">
        <v>49</v>
      </c>
      <c r="E45" s="7" t="s">
        <v>49</v>
      </c>
      <c r="F45" s="7" t="n">
        <v>1</v>
      </c>
      <c r="G45" s="7" t="n">
        <v>85</v>
      </c>
      <c r="H45" s="7" t="n">
        <v>125</v>
      </c>
      <c r="I45" s="7" t="n">
        <v>145</v>
      </c>
      <c r="J45" s="7" t="n">
        <v>165</v>
      </c>
      <c r="K45" s="8" t="s">
        <v>117</v>
      </c>
      <c r="L45" s="9" t="s">
        <v>46</v>
      </c>
      <c r="M45" s="9" t="n">
        <f aca="false">COUNTIF(Composants!A:A,A45)</f>
        <v>2</v>
      </c>
      <c r="N45" s="0" t="n">
        <v>85</v>
      </c>
    </row>
    <row r="46" customFormat="false" ht="15" hidden="false" customHeight="true" outlineLevel="0" collapsed="false">
      <c r="A46" s="6" t="n">
        <v>5478</v>
      </c>
      <c r="B46" s="6" t="s">
        <v>47</v>
      </c>
      <c r="C46" s="6" t="s">
        <v>120</v>
      </c>
      <c r="D46" s="7" t="s">
        <v>49</v>
      </c>
      <c r="E46" s="7" t="s">
        <v>49</v>
      </c>
      <c r="F46" s="7" t="n">
        <v>2</v>
      </c>
      <c r="G46" s="7" t="n">
        <v>90</v>
      </c>
      <c r="H46" s="7" t="n">
        <v>130</v>
      </c>
      <c r="I46" s="7" t="n">
        <v>150</v>
      </c>
      <c r="J46" s="7" t="n">
        <v>170</v>
      </c>
      <c r="K46" s="8" t="s">
        <v>121</v>
      </c>
      <c r="L46" s="9" t="s">
        <v>46</v>
      </c>
      <c r="M46" s="9" t="n">
        <f aca="false">COUNTIF(Composants!A:A,A46)</f>
        <v>1</v>
      </c>
      <c r="N46" s="0" t="n">
        <v>90</v>
      </c>
    </row>
    <row r="47" customFormat="false" ht="15" hidden="false" customHeight="true" outlineLevel="0" collapsed="false">
      <c r="A47" s="6" t="n">
        <v>3663</v>
      </c>
      <c r="B47" s="6" t="s">
        <v>47</v>
      </c>
      <c r="C47" s="6" t="s">
        <v>122</v>
      </c>
      <c r="D47" s="7" t="s">
        <v>49</v>
      </c>
      <c r="E47" s="7" t="s">
        <v>49</v>
      </c>
      <c r="F47" s="7" t="n">
        <v>1</v>
      </c>
      <c r="G47" s="7" t="n">
        <v>90</v>
      </c>
      <c r="H47" s="7" t="n">
        <v>130</v>
      </c>
      <c r="I47" s="7" t="n">
        <v>150</v>
      </c>
      <c r="J47" s="7" t="n">
        <v>170</v>
      </c>
      <c r="K47" s="8" t="s">
        <v>121</v>
      </c>
      <c r="L47" s="9" t="s">
        <v>46</v>
      </c>
      <c r="M47" s="9" t="n">
        <f aca="false">COUNTIF(Composants!A:A,A47)</f>
        <v>2</v>
      </c>
      <c r="N47" s="0" t="n">
        <v>90</v>
      </c>
    </row>
    <row r="48" customFormat="false" ht="15" hidden="false" customHeight="true" outlineLevel="0" collapsed="false">
      <c r="A48" s="6" t="n">
        <v>5526</v>
      </c>
      <c r="B48" s="6" t="s">
        <v>47</v>
      </c>
      <c r="C48" s="6" t="s">
        <v>123</v>
      </c>
      <c r="D48" s="7" t="s">
        <v>49</v>
      </c>
      <c r="E48" s="7" t="s">
        <v>49</v>
      </c>
      <c r="F48" s="7" t="n">
        <v>1</v>
      </c>
      <c r="G48" s="7" t="n">
        <v>90</v>
      </c>
      <c r="H48" s="7" t="n">
        <v>130</v>
      </c>
      <c r="I48" s="7" t="n">
        <v>150</v>
      </c>
      <c r="J48" s="7" t="n">
        <v>170</v>
      </c>
      <c r="K48" s="8" t="s">
        <v>121</v>
      </c>
      <c r="L48" s="9" t="s">
        <v>46</v>
      </c>
      <c r="M48" s="9" t="n">
        <f aca="false">COUNTIF(Composants!A:A,A48)</f>
        <v>3</v>
      </c>
      <c r="N48" s="0" t="n">
        <v>90</v>
      </c>
    </row>
    <row r="49" customFormat="false" ht="15" hidden="false" customHeight="true" outlineLevel="0" collapsed="false">
      <c r="A49" s="6" t="n">
        <v>2685</v>
      </c>
      <c r="B49" s="6" t="s">
        <v>47</v>
      </c>
      <c r="C49" s="6" t="s">
        <v>124</v>
      </c>
      <c r="D49" s="7" t="s">
        <v>49</v>
      </c>
      <c r="E49" s="7" t="s">
        <v>49</v>
      </c>
      <c r="F49" s="7" t="n">
        <v>1</v>
      </c>
      <c r="G49" s="7" t="n">
        <v>110</v>
      </c>
      <c r="H49" s="7" t="n">
        <v>130</v>
      </c>
      <c r="I49" s="7" t="n">
        <v>150</v>
      </c>
      <c r="J49" s="7" t="n">
        <v>170</v>
      </c>
      <c r="K49" s="8" t="s">
        <v>125</v>
      </c>
      <c r="L49" s="9" t="s">
        <v>46</v>
      </c>
      <c r="M49" s="9" t="n">
        <f aca="false">COUNTIF(Composants!A:A,A49)</f>
        <v>2</v>
      </c>
      <c r="N49" s="0" t="n">
        <v>110</v>
      </c>
    </row>
    <row r="50" customFormat="false" ht="15" hidden="false" customHeight="true" outlineLevel="0" collapsed="false">
      <c r="A50" s="6" t="n">
        <v>1082</v>
      </c>
      <c r="B50" s="6" t="s">
        <v>47</v>
      </c>
      <c r="C50" s="6" t="s">
        <v>126</v>
      </c>
      <c r="D50" s="7" t="s">
        <v>49</v>
      </c>
      <c r="E50" s="7" t="s">
        <v>49</v>
      </c>
      <c r="F50" s="7" t="n">
        <v>1</v>
      </c>
      <c r="G50" s="7" t="n">
        <v>100</v>
      </c>
      <c r="H50" s="7" t="n">
        <v>135</v>
      </c>
      <c r="I50" s="7" t="n">
        <v>155</v>
      </c>
      <c r="J50" s="7" t="n">
        <v>175</v>
      </c>
      <c r="K50" s="8" t="s">
        <v>127</v>
      </c>
      <c r="L50" s="9" t="s">
        <v>46</v>
      </c>
      <c r="M50" s="9" t="n">
        <f aca="false">COUNTIF(Composants!A:A,A50)</f>
        <v>2</v>
      </c>
      <c r="N50" s="0" t="n">
        <v>100</v>
      </c>
    </row>
    <row r="51" customFormat="false" ht="15" hidden="false" customHeight="true" outlineLevel="0" collapsed="false">
      <c r="A51" s="6" t="n">
        <v>249873</v>
      </c>
      <c r="B51" s="6" t="s">
        <v>47</v>
      </c>
      <c r="C51" s="6" t="s">
        <v>128</v>
      </c>
      <c r="D51" s="7" t="s">
        <v>44</v>
      </c>
      <c r="E51" s="7" t="s">
        <v>49</v>
      </c>
      <c r="F51" s="7" t="n">
        <v>1</v>
      </c>
      <c r="G51" s="7" t="n">
        <v>125</v>
      </c>
      <c r="H51" s="7" t="n">
        <v>135</v>
      </c>
      <c r="I51" s="7" t="n">
        <v>140</v>
      </c>
      <c r="J51" s="7" t="n">
        <v>145</v>
      </c>
      <c r="K51" s="8" t="s">
        <v>129</v>
      </c>
      <c r="L51" s="9" t="s">
        <v>46</v>
      </c>
      <c r="M51" s="9" t="n">
        <f aca="false">COUNTIF(Composants!A:A,A51)</f>
        <v>3</v>
      </c>
    </row>
    <row r="52" customFormat="false" ht="15" hidden="false" customHeight="true" outlineLevel="0" collapsed="false">
      <c r="A52" s="6" t="n">
        <v>1017</v>
      </c>
      <c r="B52" s="6" t="s">
        <v>47</v>
      </c>
      <c r="C52" s="6" t="s">
        <v>130</v>
      </c>
      <c r="D52" s="7" t="s">
        <v>49</v>
      </c>
      <c r="E52" s="7" t="s">
        <v>49</v>
      </c>
      <c r="F52" s="7" t="n">
        <v>3</v>
      </c>
      <c r="G52" s="7" t="n">
        <v>100</v>
      </c>
      <c r="H52" s="7" t="n">
        <v>140</v>
      </c>
      <c r="I52" s="7" t="n">
        <v>160</v>
      </c>
      <c r="J52" s="7" t="n">
        <v>180</v>
      </c>
      <c r="K52" s="8" t="s">
        <v>131</v>
      </c>
      <c r="L52" s="9" t="s">
        <v>46</v>
      </c>
      <c r="M52" s="9" t="n">
        <f aca="false">COUNTIF(Composants!A:A,A52)</f>
        <v>2</v>
      </c>
      <c r="N52" s="0" t="n">
        <v>100</v>
      </c>
    </row>
    <row r="53" customFormat="false" ht="15" hidden="false" customHeight="true" outlineLevel="0" collapsed="false">
      <c r="A53" s="6" t="n">
        <v>4593</v>
      </c>
      <c r="B53" s="6" t="s">
        <v>47</v>
      </c>
      <c r="C53" s="6" t="s">
        <v>132</v>
      </c>
      <c r="D53" s="7" t="s">
        <v>49</v>
      </c>
      <c r="E53" s="7" t="s">
        <v>49</v>
      </c>
      <c r="F53" s="7" t="n">
        <v>1</v>
      </c>
      <c r="G53" s="7" t="n">
        <v>100</v>
      </c>
      <c r="H53" s="7" t="n">
        <v>140</v>
      </c>
      <c r="I53" s="7" t="n">
        <v>160</v>
      </c>
      <c r="J53" s="7" t="n">
        <v>180</v>
      </c>
      <c r="K53" s="8" t="s">
        <v>131</v>
      </c>
      <c r="L53" s="9" t="s">
        <v>46</v>
      </c>
      <c r="M53" s="9" t="n">
        <f aca="false">COUNTIF(Composants!A:A,A53)</f>
        <v>1</v>
      </c>
      <c r="N53" s="0" t="n">
        <v>100</v>
      </c>
    </row>
    <row r="54" customFormat="false" ht="15" hidden="false" customHeight="true" outlineLevel="0" collapsed="false">
      <c r="A54" s="6" t="n">
        <v>5479</v>
      </c>
      <c r="B54" s="6" t="s">
        <v>47</v>
      </c>
      <c r="C54" s="6" t="s">
        <v>133</v>
      </c>
      <c r="D54" s="7" t="s">
        <v>49</v>
      </c>
      <c r="E54" s="7" t="s">
        <v>49</v>
      </c>
      <c r="F54" s="7" t="n">
        <v>2</v>
      </c>
      <c r="G54" s="7" t="n">
        <v>100</v>
      </c>
      <c r="H54" s="7" t="n">
        <v>140</v>
      </c>
      <c r="I54" s="7" t="n">
        <v>160</v>
      </c>
      <c r="J54" s="7" t="n">
        <v>180</v>
      </c>
      <c r="K54" s="8" t="s">
        <v>131</v>
      </c>
      <c r="L54" s="9" t="s">
        <v>46</v>
      </c>
      <c r="M54" s="9" t="n">
        <f aca="false">COUNTIF(Composants!A:A,A54)</f>
        <v>2</v>
      </c>
      <c r="N54" s="0" t="n">
        <v>100</v>
      </c>
    </row>
    <row r="55" customFormat="false" ht="15" hidden="false" customHeight="true" outlineLevel="0" collapsed="false">
      <c r="A55" s="6" t="n">
        <v>279957</v>
      </c>
      <c r="B55" s="6" t="s">
        <v>47</v>
      </c>
      <c r="C55" s="6" t="s">
        <v>134</v>
      </c>
      <c r="D55" s="7" t="s">
        <v>44</v>
      </c>
      <c r="E55" s="7" t="s">
        <v>49</v>
      </c>
      <c r="F55" s="7" t="n">
        <v>1</v>
      </c>
      <c r="G55" s="7" t="n">
        <v>140</v>
      </c>
      <c r="H55" s="7" t="n">
        <v>140</v>
      </c>
      <c r="I55" s="7" t="n">
        <v>143</v>
      </c>
      <c r="J55" s="7" t="n">
        <v>145</v>
      </c>
      <c r="K55" s="8" t="s">
        <v>135</v>
      </c>
      <c r="L55" s="9" t="s">
        <v>46</v>
      </c>
      <c r="M55" s="9" t="n">
        <f aca="false">COUNTIF(Composants!A:A,A55)</f>
        <v>3</v>
      </c>
    </row>
    <row r="56" customFormat="false" ht="15" hidden="false" customHeight="true" outlineLevel="0" collapsed="false">
      <c r="A56" s="6" t="n">
        <v>3726</v>
      </c>
      <c r="B56" s="6" t="s">
        <v>47</v>
      </c>
      <c r="C56" s="6" t="s">
        <v>136</v>
      </c>
      <c r="D56" s="7" t="s">
        <v>49</v>
      </c>
      <c r="E56" s="7" t="s">
        <v>49</v>
      </c>
      <c r="F56" s="7" t="n">
        <v>1</v>
      </c>
      <c r="G56" s="7" t="n">
        <v>110</v>
      </c>
      <c r="H56" s="7" t="n">
        <v>150</v>
      </c>
      <c r="I56" s="7" t="n">
        <v>170</v>
      </c>
      <c r="J56" s="7" t="n">
        <v>190</v>
      </c>
      <c r="K56" s="8" t="s">
        <v>137</v>
      </c>
      <c r="L56" s="9" t="s">
        <v>46</v>
      </c>
      <c r="M56" s="9" t="n">
        <f aca="false">COUNTIF(Composants!A:A,A56)</f>
        <v>2</v>
      </c>
      <c r="N56" s="0" t="n">
        <v>110</v>
      </c>
    </row>
    <row r="57" customFormat="false" ht="15" hidden="false" customHeight="true" outlineLevel="0" collapsed="false">
      <c r="A57" s="6" t="n">
        <v>3666</v>
      </c>
      <c r="B57" s="6" t="s">
        <v>47</v>
      </c>
      <c r="C57" s="6" t="s">
        <v>138</v>
      </c>
      <c r="D57" s="7" t="s">
        <v>49</v>
      </c>
      <c r="E57" s="7" t="s">
        <v>49</v>
      </c>
      <c r="F57" s="7" t="n">
        <v>1</v>
      </c>
      <c r="G57" s="7" t="n">
        <v>110</v>
      </c>
      <c r="H57" s="7" t="n">
        <v>150</v>
      </c>
      <c r="I57" s="7" t="n">
        <v>170</v>
      </c>
      <c r="J57" s="7" t="n">
        <v>190</v>
      </c>
      <c r="K57" s="8" t="s">
        <v>137</v>
      </c>
      <c r="L57" s="9" t="s">
        <v>46</v>
      </c>
      <c r="M57" s="9" t="n">
        <f aca="false">COUNTIF(Composants!A:A,A57)</f>
        <v>2</v>
      </c>
      <c r="N57" s="0" t="n">
        <v>110</v>
      </c>
    </row>
    <row r="58" customFormat="false" ht="15" hidden="false" customHeight="true" outlineLevel="0" collapsed="false">
      <c r="A58" s="6" t="n">
        <v>5480</v>
      </c>
      <c r="B58" s="6" t="s">
        <v>47</v>
      </c>
      <c r="C58" s="6" t="s">
        <v>139</v>
      </c>
      <c r="D58" s="7" t="s">
        <v>49</v>
      </c>
      <c r="E58" s="7" t="s">
        <v>49</v>
      </c>
      <c r="F58" s="7" t="n">
        <v>2</v>
      </c>
      <c r="G58" s="7" t="n">
        <v>110</v>
      </c>
      <c r="H58" s="7" t="n">
        <v>150</v>
      </c>
      <c r="I58" s="7" t="n">
        <v>170</v>
      </c>
      <c r="J58" s="7" t="n">
        <v>190</v>
      </c>
      <c r="K58" s="8" t="s">
        <v>137</v>
      </c>
      <c r="L58" s="9" t="s">
        <v>46</v>
      </c>
      <c r="M58" s="9" t="n">
        <f aca="false">COUNTIF(Composants!A:A,A58)</f>
        <v>2</v>
      </c>
      <c r="N58" s="0" t="n">
        <v>110</v>
      </c>
    </row>
    <row r="59" customFormat="false" ht="15" hidden="false" customHeight="true" outlineLevel="0" collapsed="false">
      <c r="A59" s="6" t="n">
        <v>249867</v>
      </c>
      <c r="B59" s="6" t="s">
        <v>47</v>
      </c>
      <c r="C59" s="6" t="s">
        <v>140</v>
      </c>
      <c r="D59" s="7" t="s">
        <v>44</v>
      </c>
      <c r="E59" s="7" t="s">
        <v>49</v>
      </c>
      <c r="F59" s="7" t="n">
        <v>1</v>
      </c>
      <c r="G59" s="7" t="n">
        <v>125</v>
      </c>
      <c r="H59" s="7" t="n">
        <v>155</v>
      </c>
      <c r="I59" s="7" t="n">
        <v>170</v>
      </c>
      <c r="J59" s="7" t="n">
        <v>185</v>
      </c>
      <c r="K59" s="8" t="s">
        <v>141</v>
      </c>
      <c r="L59" s="9" t="s">
        <v>46</v>
      </c>
      <c r="M59" s="9" t="n">
        <f aca="false">COUNTIF(Composants!A:A,A59)</f>
        <v>2</v>
      </c>
    </row>
    <row r="60" customFormat="false" ht="15" hidden="false" customHeight="true" outlineLevel="0" collapsed="false">
      <c r="A60" s="6" t="n">
        <v>3664</v>
      </c>
      <c r="B60" s="6" t="s">
        <v>47</v>
      </c>
      <c r="C60" s="6" t="s">
        <v>142</v>
      </c>
      <c r="D60" s="7" t="s">
        <v>49</v>
      </c>
      <c r="E60" s="7" t="s">
        <v>49</v>
      </c>
      <c r="F60" s="7" t="n">
        <v>1</v>
      </c>
      <c r="G60" s="7" t="n">
        <v>120</v>
      </c>
      <c r="H60" s="7" t="n">
        <v>160</v>
      </c>
      <c r="I60" s="7" t="n">
        <v>180</v>
      </c>
      <c r="J60" s="7" t="n">
        <v>200</v>
      </c>
      <c r="K60" s="8" t="s">
        <v>143</v>
      </c>
      <c r="L60" s="9" t="s">
        <v>46</v>
      </c>
      <c r="M60" s="9" t="n">
        <f aca="false">COUNTIF(Composants!A:A,A60)</f>
        <v>2</v>
      </c>
      <c r="N60" s="0" t="n">
        <v>120</v>
      </c>
    </row>
    <row r="61" customFormat="false" ht="15" hidden="false" customHeight="true" outlineLevel="0" collapsed="false">
      <c r="A61" s="6" t="n">
        <v>20074</v>
      </c>
      <c r="B61" s="6" t="s">
        <v>47</v>
      </c>
      <c r="C61" s="6" t="s">
        <v>144</v>
      </c>
      <c r="D61" s="7" t="s">
        <v>49</v>
      </c>
      <c r="E61" s="7" t="s">
        <v>49</v>
      </c>
      <c r="F61" s="7" t="n">
        <v>1</v>
      </c>
      <c r="G61" s="7" t="n">
        <v>150</v>
      </c>
      <c r="H61" s="7" t="n">
        <v>160</v>
      </c>
      <c r="I61" s="7" t="n">
        <v>180</v>
      </c>
      <c r="J61" s="7" t="n">
        <v>200</v>
      </c>
      <c r="K61" s="8" t="s">
        <v>145</v>
      </c>
      <c r="L61" s="9" t="s">
        <v>46</v>
      </c>
      <c r="M61" s="9" t="n">
        <f aca="false">COUNTIF(Composants!A:A,A61)</f>
        <v>2</v>
      </c>
      <c r="N61" s="0" t="n">
        <v>150</v>
      </c>
    </row>
    <row r="62" customFormat="false" ht="15" hidden="false" customHeight="true" outlineLevel="0" collapsed="false">
      <c r="A62" s="6" t="n">
        <v>5527</v>
      </c>
      <c r="B62" s="6" t="s">
        <v>47</v>
      </c>
      <c r="C62" s="6" t="s">
        <v>146</v>
      </c>
      <c r="D62" s="7" t="s">
        <v>49</v>
      </c>
      <c r="E62" s="7" t="s">
        <v>44</v>
      </c>
      <c r="F62" s="7" t="n">
        <v>1</v>
      </c>
      <c r="G62" s="7"/>
      <c r="H62" s="7" t="n">
        <v>165</v>
      </c>
      <c r="I62" s="7" t="n">
        <v>185</v>
      </c>
      <c r="J62" s="7" t="n">
        <v>205</v>
      </c>
      <c r="K62" s="8" t="s">
        <v>147</v>
      </c>
      <c r="L62" s="9" t="s">
        <v>46</v>
      </c>
      <c r="M62" s="9" t="n">
        <f aca="false">COUNTIF(Composants!A:A,A62)</f>
        <v>2</v>
      </c>
      <c r="N62" s="0" t="n">
        <v>125</v>
      </c>
    </row>
    <row r="63" customFormat="false" ht="15" hidden="false" customHeight="true" outlineLevel="0" collapsed="false">
      <c r="A63" s="6" t="n">
        <v>12209</v>
      </c>
      <c r="B63" s="6" t="s">
        <v>47</v>
      </c>
      <c r="C63" s="6" t="s">
        <v>148</v>
      </c>
      <c r="D63" s="7" t="s">
        <v>49</v>
      </c>
      <c r="E63" s="7" t="s">
        <v>49</v>
      </c>
      <c r="F63" s="7" t="n">
        <v>1</v>
      </c>
      <c r="G63" s="7" t="n">
        <v>125</v>
      </c>
      <c r="H63" s="7" t="n">
        <v>165</v>
      </c>
      <c r="I63" s="7" t="n">
        <v>185</v>
      </c>
      <c r="J63" s="7" t="n">
        <v>205</v>
      </c>
      <c r="K63" s="8" t="s">
        <v>149</v>
      </c>
      <c r="L63" s="9" t="s">
        <v>46</v>
      </c>
      <c r="M63" s="9" t="n">
        <f aca="false">COUNTIF(Composants!A:A,A63)</f>
        <v>2</v>
      </c>
      <c r="N63" s="0" t="n">
        <v>125</v>
      </c>
    </row>
    <row r="64" customFormat="false" ht="15" hidden="false" customHeight="true" outlineLevel="0" collapsed="false">
      <c r="A64" s="6" t="n">
        <v>3665</v>
      </c>
      <c r="B64" s="6" t="s">
        <v>47</v>
      </c>
      <c r="C64" s="6" t="s">
        <v>150</v>
      </c>
      <c r="D64" s="7" t="s">
        <v>49</v>
      </c>
      <c r="E64" s="7" t="s">
        <v>49</v>
      </c>
      <c r="F64" s="7" t="n">
        <v>1</v>
      </c>
      <c r="G64" s="7" t="n">
        <v>130</v>
      </c>
      <c r="H64" s="7" t="n">
        <v>170</v>
      </c>
      <c r="I64" s="7" t="n">
        <v>190</v>
      </c>
      <c r="J64" s="7" t="n">
        <v>210</v>
      </c>
      <c r="K64" s="8" t="s">
        <v>151</v>
      </c>
      <c r="L64" s="9" t="s">
        <v>46</v>
      </c>
      <c r="M64" s="9" t="n">
        <f aca="false">COUNTIF(Composants!A:A,A64)</f>
        <v>2</v>
      </c>
      <c r="N64" s="0" t="n">
        <v>130</v>
      </c>
    </row>
    <row r="65" customFormat="false" ht="15" hidden="false" customHeight="true" outlineLevel="0" collapsed="false">
      <c r="A65" s="6" t="n">
        <v>3727</v>
      </c>
      <c r="B65" s="6" t="s">
        <v>47</v>
      </c>
      <c r="C65" s="6" t="s">
        <v>152</v>
      </c>
      <c r="D65" s="7" t="s">
        <v>49</v>
      </c>
      <c r="E65" s="7" t="s">
        <v>49</v>
      </c>
      <c r="F65" s="7" t="n">
        <v>1</v>
      </c>
      <c r="G65" s="7" t="n">
        <v>125</v>
      </c>
      <c r="H65" s="7" t="n">
        <v>175</v>
      </c>
      <c r="I65" s="7" t="n">
        <v>195</v>
      </c>
      <c r="J65" s="7" t="n">
        <v>215</v>
      </c>
      <c r="K65" s="8" t="s">
        <v>153</v>
      </c>
      <c r="L65" s="9" t="s">
        <v>46</v>
      </c>
      <c r="M65" s="9" t="n">
        <f aca="false">COUNTIF(Composants!A:A,A65)</f>
        <v>2</v>
      </c>
      <c r="N65" s="0" t="n">
        <v>125</v>
      </c>
    </row>
    <row r="66" customFormat="false" ht="15" hidden="false" customHeight="true" outlineLevel="0" collapsed="false">
      <c r="A66" s="10" t="n">
        <v>250072</v>
      </c>
      <c r="B66" s="10" t="s">
        <v>47</v>
      </c>
      <c r="C66" s="10" t="s">
        <v>154</v>
      </c>
      <c r="D66" s="11" t="s">
        <v>44</v>
      </c>
      <c r="E66" s="11" t="s">
        <v>49</v>
      </c>
      <c r="F66" s="11" t="n">
        <v>1</v>
      </c>
      <c r="G66" s="11"/>
      <c r="H66" s="11"/>
      <c r="I66" s="11"/>
      <c r="J66" s="11"/>
      <c r="K66" s="12" t="s">
        <v>155</v>
      </c>
      <c r="L66" s="13" t="s">
        <v>51</v>
      </c>
      <c r="M66" s="13" t="n">
        <f aca="false">COUNTIF(Composants!A:A,A66)</f>
        <v>2</v>
      </c>
    </row>
    <row r="67" customFormat="false" ht="15" hidden="false" customHeight="true" outlineLevel="0" collapsed="false">
      <c r="A67" s="6" t="n">
        <v>249874</v>
      </c>
      <c r="B67" s="6" t="s">
        <v>47</v>
      </c>
      <c r="C67" s="6" t="s">
        <v>156</v>
      </c>
      <c r="D67" s="7" t="s">
        <v>44</v>
      </c>
      <c r="E67" s="7" t="s">
        <v>49</v>
      </c>
      <c r="F67" s="7" t="n">
        <v>1</v>
      </c>
      <c r="G67" s="7" t="n">
        <v>180</v>
      </c>
      <c r="H67" s="7" t="n">
        <v>185</v>
      </c>
      <c r="I67" s="7" t="n">
        <v>190</v>
      </c>
      <c r="J67" s="7" t="n">
        <v>195</v>
      </c>
      <c r="K67" s="8" t="s">
        <v>157</v>
      </c>
      <c r="L67" s="9" t="s">
        <v>46</v>
      </c>
      <c r="M67" s="9" t="n">
        <f aca="false">COUNTIF(Composants!A:A,A67)</f>
        <v>3</v>
      </c>
    </row>
    <row r="68" customFormat="false" ht="15" hidden="false" customHeight="true" outlineLevel="0" collapsed="false">
      <c r="A68" s="10" t="n">
        <v>250073</v>
      </c>
      <c r="B68" s="10" t="s">
        <v>47</v>
      </c>
      <c r="C68" s="10" t="s">
        <v>158</v>
      </c>
      <c r="D68" s="11" t="s">
        <v>44</v>
      </c>
      <c r="E68" s="11" t="s">
        <v>49</v>
      </c>
      <c r="F68" s="11" t="n">
        <v>1</v>
      </c>
      <c r="G68" s="11"/>
      <c r="H68" s="11"/>
      <c r="I68" s="11"/>
      <c r="J68" s="11"/>
      <c r="K68" s="12" t="s">
        <v>159</v>
      </c>
      <c r="L68" s="13" t="s">
        <v>51</v>
      </c>
      <c r="M68" s="13" t="n">
        <f aca="false">COUNTIF(Composants!A:A,A68)</f>
        <v>2</v>
      </c>
    </row>
    <row r="69" customFormat="false" ht="15" hidden="false" customHeight="true" outlineLevel="0" collapsed="false">
      <c r="A69" s="6" t="n">
        <v>3728</v>
      </c>
      <c r="B69" s="6" t="s">
        <v>47</v>
      </c>
      <c r="C69" s="6" t="s">
        <v>160</v>
      </c>
      <c r="D69" s="7" t="s">
        <v>49</v>
      </c>
      <c r="E69" s="7" t="s">
        <v>49</v>
      </c>
      <c r="F69" s="7" t="n">
        <v>1</v>
      </c>
      <c r="G69" s="7" t="n">
        <v>150</v>
      </c>
      <c r="H69" s="7" t="n">
        <v>190</v>
      </c>
      <c r="I69" s="7" t="n">
        <v>210</v>
      </c>
      <c r="J69" s="7" t="n">
        <v>230</v>
      </c>
      <c r="K69" s="8" t="s">
        <v>161</v>
      </c>
      <c r="L69" s="9" t="s">
        <v>46</v>
      </c>
      <c r="M69" s="9" t="n">
        <f aca="false">COUNTIF(Composants!A:A,A69)</f>
        <v>2</v>
      </c>
      <c r="N69" s="0" t="n">
        <v>150</v>
      </c>
    </row>
    <row r="70" customFormat="false" ht="15" hidden="false" customHeight="true" outlineLevel="0" collapsed="false">
      <c r="A70" s="6" t="n">
        <v>4594</v>
      </c>
      <c r="B70" s="6" t="s">
        <v>47</v>
      </c>
      <c r="C70" s="6" t="s">
        <v>162</v>
      </c>
      <c r="D70" s="7" t="s">
        <v>49</v>
      </c>
      <c r="E70" s="7" t="s">
        <v>49</v>
      </c>
      <c r="F70" s="7" t="n">
        <v>1</v>
      </c>
      <c r="G70" s="7" t="n">
        <v>175</v>
      </c>
      <c r="H70" s="7" t="n">
        <v>190</v>
      </c>
      <c r="I70" s="7" t="n">
        <v>210</v>
      </c>
      <c r="J70" s="7" t="n">
        <v>230</v>
      </c>
      <c r="K70" s="8" t="s">
        <v>163</v>
      </c>
      <c r="L70" s="9" t="s">
        <v>46</v>
      </c>
      <c r="M70" s="9" t="n">
        <f aca="false">COUNTIF(Composants!A:A,A70)</f>
        <v>1</v>
      </c>
      <c r="N70" s="0" t="n">
        <v>175</v>
      </c>
    </row>
    <row r="71" customFormat="false" ht="15" hidden="false" customHeight="true" outlineLevel="0" collapsed="false">
      <c r="A71" s="6" t="n">
        <v>250078</v>
      </c>
      <c r="B71" s="6" t="s">
        <v>47</v>
      </c>
      <c r="C71" s="6" t="s">
        <v>164</v>
      </c>
      <c r="D71" s="7" t="s">
        <v>44</v>
      </c>
      <c r="E71" s="7" t="s">
        <v>49</v>
      </c>
      <c r="F71" s="7" t="n">
        <v>1</v>
      </c>
      <c r="G71" s="7" t="n">
        <v>175</v>
      </c>
      <c r="H71" s="7" t="n">
        <v>195</v>
      </c>
      <c r="I71" s="7" t="n">
        <v>208</v>
      </c>
      <c r="J71" s="7" t="n">
        <v>220</v>
      </c>
      <c r="K71" s="8" t="s">
        <v>165</v>
      </c>
      <c r="L71" s="9" t="s">
        <v>46</v>
      </c>
      <c r="M71" s="9" t="n">
        <f aca="false">COUNTIF(Composants!A:A,A71)</f>
        <v>2</v>
      </c>
    </row>
    <row r="72" customFormat="false" ht="15" hidden="false" customHeight="true" outlineLevel="0" collapsed="false">
      <c r="A72" s="6" t="n">
        <v>249868</v>
      </c>
      <c r="B72" s="6" t="s">
        <v>47</v>
      </c>
      <c r="C72" s="6" t="s">
        <v>166</v>
      </c>
      <c r="D72" s="7" t="s">
        <v>44</v>
      </c>
      <c r="E72" s="7" t="s">
        <v>49</v>
      </c>
      <c r="F72" s="7" t="n">
        <v>1</v>
      </c>
      <c r="G72" s="7" t="n">
        <v>180</v>
      </c>
      <c r="H72" s="7" t="n">
        <v>195</v>
      </c>
      <c r="I72" s="7" t="n">
        <v>215</v>
      </c>
      <c r="J72" s="7" t="n">
        <v>235</v>
      </c>
      <c r="K72" s="8" t="s">
        <v>167</v>
      </c>
      <c r="L72" s="9" t="s">
        <v>46</v>
      </c>
      <c r="M72" s="9" t="n">
        <f aca="false">COUNTIF(Composants!A:A,A72)</f>
        <v>2</v>
      </c>
    </row>
    <row r="73" customFormat="false" ht="15" hidden="false" customHeight="true" outlineLevel="0" collapsed="false">
      <c r="A73" s="6" t="n">
        <v>250074</v>
      </c>
      <c r="B73" s="6" t="s">
        <v>47</v>
      </c>
      <c r="C73" s="6" t="s">
        <v>168</v>
      </c>
      <c r="D73" s="7" t="s">
        <v>44</v>
      </c>
      <c r="E73" s="7" t="s">
        <v>49</v>
      </c>
      <c r="F73" s="7" t="n">
        <v>1</v>
      </c>
      <c r="G73" s="7" t="n">
        <v>175</v>
      </c>
      <c r="H73" s="7" t="n">
        <v>200</v>
      </c>
      <c r="I73" s="7" t="n">
        <v>210</v>
      </c>
      <c r="J73" s="7" t="n">
        <v>220</v>
      </c>
      <c r="K73" s="8" t="s">
        <v>169</v>
      </c>
      <c r="L73" s="9" t="s">
        <v>46</v>
      </c>
      <c r="M73" s="9" t="n">
        <f aca="false">COUNTIF(Composants!A:A,A73)</f>
        <v>2</v>
      </c>
    </row>
    <row r="74" customFormat="false" ht="15" hidden="false" customHeight="true" outlineLevel="0" collapsed="false">
      <c r="A74" s="6" t="n">
        <v>274976</v>
      </c>
      <c r="B74" s="6" t="s">
        <v>47</v>
      </c>
      <c r="C74" s="6" t="s">
        <v>170</v>
      </c>
      <c r="D74" s="7" t="s">
        <v>44</v>
      </c>
      <c r="E74" s="7" t="s">
        <v>49</v>
      </c>
      <c r="F74" s="7" t="n">
        <v>1</v>
      </c>
      <c r="G74" s="7" t="n">
        <v>185</v>
      </c>
      <c r="H74" s="7" t="n">
        <v>200</v>
      </c>
      <c r="I74" s="7" t="n">
        <v>215</v>
      </c>
      <c r="J74" s="7" t="n">
        <v>230</v>
      </c>
      <c r="K74" s="8" t="s">
        <v>171</v>
      </c>
      <c r="L74" s="9" t="s">
        <v>46</v>
      </c>
      <c r="M74" s="9" t="n">
        <f aca="false">COUNTIF(Composants!A:A,A74)</f>
        <v>2</v>
      </c>
    </row>
    <row r="75" customFormat="false" ht="15" hidden="false" customHeight="true" outlineLevel="0" collapsed="false">
      <c r="A75" s="6" t="n">
        <v>279974</v>
      </c>
      <c r="B75" s="6" t="s">
        <v>47</v>
      </c>
      <c r="C75" s="6" t="s">
        <v>172</v>
      </c>
      <c r="D75" s="7" t="s">
        <v>44</v>
      </c>
      <c r="E75" s="7" t="s">
        <v>49</v>
      </c>
      <c r="F75" s="7" t="n">
        <v>1</v>
      </c>
      <c r="G75" s="7" t="n">
        <v>200</v>
      </c>
      <c r="H75" s="7" t="n">
        <v>200</v>
      </c>
      <c r="I75" s="7" t="n">
        <v>213</v>
      </c>
      <c r="J75" s="7" t="n">
        <v>225</v>
      </c>
      <c r="K75" s="8" t="s">
        <v>173</v>
      </c>
      <c r="L75" s="9" t="s">
        <v>46</v>
      </c>
      <c r="M75" s="9" t="n">
        <f aca="false">COUNTIF(Composants!A:A,A75)</f>
        <v>1</v>
      </c>
    </row>
    <row r="76" customFormat="false" ht="15" hidden="false" customHeight="true" outlineLevel="0" collapsed="false">
      <c r="A76" s="10" t="n">
        <v>250081</v>
      </c>
      <c r="B76" s="10" t="s">
        <v>47</v>
      </c>
      <c r="C76" s="10" t="s">
        <v>174</v>
      </c>
      <c r="D76" s="11" t="s">
        <v>44</v>
      </c>
      <c r="E76" s="11" t="s">
        <v>49</v>
      </c>
      <c r="F76" s="11" t="n">
        <v>1</v>
      </c>
      <c r="G76" s="11"/>
      <c r="H76" s="11"/>
      <c r="I76" s="11"/>
      <c r="J76" s="11"/>
      <c r="K76" s="12" t="s">
        <v>175</v>
      </c>
      <c r="L76" s="13" t="s">
        <v>51</v>
      </c>
      <c r="M76" s="13" t="n">
        <f aca="false">COUNTIF(Composants!A:A,A76)</f>
        <v>2</v>
      </c>
    </row>
    <row r="77" customFormat="false" ht="15" hidden="false" customHeight="true" outlineLevel="0" collapsed="false">
      <c r="A77" s="6" t="n">
        <v>8957</v>
      </c>
      <c r="B77" s="6" t="s">
        <v>47</v>
      </c>
      <c r="C77" s="6" t="s">
        <v>176</v>
      </c>
      <c r="D77" s="7" t="s">
        <v>44</v>
      </c>
      <c r="E77" s="7" t="s">
        <v>44</v>
      </c>
      <c r="F77" s="7" t="n">
        <v>1</v>
      </c>
      <c r="G77" s="7"/>
      <c r="H77" s="7" t="n">
        <v>210</v>
      </c>
      <c r="I77" s="7" t="n">
        <v>215</v>
      </c>
      <c r="J77" s="7" t="n">
        <v>220</v>
      </c>
      <c r="K77" s="8" t="s">
        <v>177</v>
      </c>
      <c r="L77" s="9" t="s">
        <v>46</v>
      </c>
      <c r="M77" s="9" t="n">
        <f aca="false">COUNTIF(Composants!A:A,A77)</f>
        <v>1</v>
      </c>
    </row>
    <row r="78" customFormat="false" ht="15" hidden="false" customHeight="true" outlineLevel="0" collapsed="false">
      <c r="A78" s="6" t="n">
        <v>10841</v>
      </c>
      <c r="B78" s="6" t="s">
        <v>47</v>
      </c>
      <c r="C78" s="6" t="s">
        <v>178</v>
      </c>
      <c r="D78" s="7" t="s">
        <v>49</v>
      </c>
      <c r="E78" s="7" t="s">
        <v>44</v>
      </c>
      <c r="F78" s="7" t="n">
        <v>4</v>
      </c>
      <c r="G78" s="7"/>
      <c r="H78" s="7" t="n">
        <v>215</v>
      </c>
      <c r="I78" s="7" t="n">
        <v>235</v>
      </c>
      <c r="J78" s="7" t="n">
        <v>255</v>
      </c>
      <c r="K78" s="8" t="s">
        <v>179</v>
      </c>
      <c r="L78" s="9" t="s">
        <v>46</v>
      </c>
      <c r="M78" s="9" t="n">
        <f aca="false">COUNTIF(Composants!A:A,A78)</f>
        <v>2</v>
      </c>
      <c r="N78" s="0" t="n">
        <v>175</v>
      </c>
    </row>
    <row r="79" customFormat="false" ht="15" hidden="false" customHeight="true" outlineLevel="0" collapsed="false">
      <c r="A79" s="6" t="n">
        <v>4457</v>
      </c>
      <c r="B79" s="6" t="s">
        <v>47</v>
      </c>
      <c r="C79" s="6" t="s">
        <v>180</v>
      </c>
      <c r="D79" s="7" t="s">
        <v>49</v>
      </c>
      <c r="E79" s="7" t="s">
        <v>49</v>
      </c>
      <c r="F79" s="7" t="n">
        <v>1</v>
      </c>
      <c r="G79" s="7" t="n">
        <v>175</v>
      </c>
      <c r="H79" s="7" t="n">
        <v>215</v>
      </c>
      <c r="I79" s="7" t="n">
        <v>235</v>
      </c>
      <c r="J79" s="7" t="n">
        <v>255</v>
      </c>
      <c r="K79" s="8" t="s">
        <v>181</v>
      </c>
      <c r="L79" s="9" t="s">
        <v>46</v>
      </c>
      <c r="M79" s="9" t="n">
        <f aca="false">COUNTIF(Composants!A:A,A79)</f>
        <v>2</v>
      </c>
      <c r="N79" s="0" t="n">
        <v>175</v>
      </c>
    </row>
    <row r="80" customFormat="false" ht="15" hidden="false" customHeight="true" outlineLevel="0" collapsed="false">
      <c r="A80" s="6" t="n">
        <v>6038</v>
      </c>
      <c r="B80" s="6" t="s">
        <v>47</v>
      </c>
      <c r="C80" s="6" t="s">
        <v>182</v>
      </c>
      <c r="D80" s="7" t="s">
        <v>49</v>
      </c>
      <c r="E80" s="7" t="s">
        <v>49</v>
      </c>
      <c r="F80" s="7" t="n">
        <v>1</v>
      </c>
      <c r="G80" s="7" t="n">
        <v>175</v>
      </c>
      <c r="H80" s="7" t="n">
        <v>215</v>
      </c>
      <c r="I80" s="7" t="n">
        <v>235</v>
      </c>
      <c r="J80" s="7" t="n">
        <v>255</v>
      </c>
      <c r="K80" s="8" t="s">
        <v>181</v>
      </c>
      <c r="L80" s="9" t="s">
        <v>46</v>
      </c>
      <c r="M80" s="9" t="n">
        <f aca="false">COUNTIF(Composants!A:A,A80)</f>
        <v>2</v>
      </c>
      <c r="N80" s="0" t="n">
        <v>175</v>
      </c>
    </row>
    <row r="81" customFormat="false" ht="15" hidden="false" customHeight="true" outlineLevel="0" collapsed="false">
      <c r="A81" s="6" t="n">
        <v>3729</v>
      </c>
      <c r="B81" s="6" t="s">
        <v>47</v>
      </c>
      <c r="C81" s="6" t="s">
        <v>183</v>
      </c>
      <c r="D81" s="7" t="s">
        <v>49</v>
      </c>
      <c r="E81" s="7" t="s">
        <v>49</v>
      </c>
      <c r="F81" s="7" t="n">
        <v>1</v>
      </c>
      <c r="G81" s="7" t="n">
        <v>175</v>
      </c>
      <c r="H81" s="7" t="n">
        <v>215</v>
      </c>
      <c r="I81" s="7" t="n">
        <v>235</v>
      </c>
      <c r="J81" s="7" t="n">
        <v>255</v>
      </c>
      <c r="K81" s="8" t="s">
        <v>181</v>
      </c>
      <c r="L81" s="9" t="s">
        <v>46</v>
      </c>
      <c r="M81" s="9" t="n">
        <f aca="false">COUNTIF(Composants!A:A,A81)</f>
        <v>2</v>
      </c>
      <c r="N81" s="0" t="n">
        <v>175</v>
      </c>
    </row>
    <row r="82" customFormat="false" ht="15" hidden="false" customHeight="true" outlineLevel="0" collapsed="false">
      <c r="A82" s="6" t="n">
        <v>13851</v>
      </c>
      <c r="B82" s="6" t="s">
        <v>47</v>
      </c>
      <c r="C82" s="6" t="s">
        <v>184</v>
      </c>
      <c r="D82" s="7" t="s">
        <v>49</v>
      </c>
      <c r="E82" s="7" t="s">
        <v>49</v>
      </c>
      <c r="F82" s="7" t="n">
        <v>1</v>
      </c>
      <c r="G82" s="7" t="n">
        <v>175</v>
      </c>
      <c r="H82" s="7" t="n">
        <v>215</v>
      </c>
      <c r="I82" s="7" t="n">
        <v>235</v>
      </c>
      <c r="J82" s="7" t="n">
        <v>255</v>
      </c>
      <c r="K82" s="8" t="s">
        <v>181</v>
      </c>
      <c r="L82" s="9" t="s">
        <v>46</v>
      </c>
      <c r="M82" s="9" t="n">
        <f aca="false">COUNTIF(Composants!A:A,A82)</f>
        <v>2</v>
      </c>
      <c r="N82" s="0" t="n">
        <v>175</v>
      </c>
    </row>
    <row r="83" customFormat="false" ht="15" hidden="false" customHeight="true" outlineLevel="0" collapsed="false">
      <c r="A83" s="6" t="n">
        <v>21217</v>
      </c>
      <c r="B83" s="6" t="s">
        <v>47</v>
      </c>
      <c r="C83" s="6" t="s">
        <v>185</v>
      </c>
      <c r="D83" s="7" t="s">
        <v>49</v>
      </c>
      <c r="E83" s="7" t="s">
        <v>49</v>
      </c>
      <c r="F83" s="7" t="n">
        <v>1</v>
      </c>
      <c r="G83" s="7" t="n">
        <v>175</v>
      </c>
      <c r="H83" s="7" t="n">
        <v>215</v>
      </c>
      <c r="I83" s="7" t="n">
        <v>235</v>
      </c>
      <c r="J83" s="7" t="n">
        <v>255</v>
      </c>
      <c r="K83" s="8" t="s">
        <v>181</v>
      </c>
      <c r="L83" s="9" t="s">
        <v>46</v>
      </c>
      <c r="M83" s="9" t="n">
        <f aca="false">COUNTIF(Composants!A:A,A83)</f>
        <v>2</v>
      </c>
      <c r="N83" s="0" t="n">
        <v>175</v>
      </c>
    </row>
    <row r="84" customFormat="false" ht="15" hidden="false" customHeight="true" outlineLevel="0" collapsed="false">
      <c r="A84" s="6" t="n">
        <v>12212</v>
      </c>
      <c r="B84" s="6" t="s">
        <v>47</v>
      </c>
      <c r="C84" s="6" t="s">
        <v>186</v>
      </c>
      <c r="D84" s="7" t="s">
        <v>49</v>
      </c>
      <c r="E84" s="7" t="s">
        <v>49</v>
      </c>
      <c r="F84" s="7" t="n">
        <v>2</v>
      </c>
      <c r="G84" s="7" t="n">
        <v>175</v>
      </c>
      <c r="H84" s="7" t="n">
        <v>215</v>
      </c>
      <c r="I84" s="7" t="n">
        <v>235</v>
      </c>
      <c r="J84" s="7" t="n">
        <v>255</v>
      </c>
      <c r="K84" s="8" t="s">
        <v>181</v>
      </c>
      <c r="L84" s="9" t="s">
        <v>46</v>
      </c>
      <c r="M84" s="9" t="n">
        <f aca="false">COUNTIF(Composants!A:A,A84)</f>
        <v>3</v>
      </c>
      <c r="N84" s="0" t="n">
        <v>175</v>
      </c>
    </row>
    <row r="85" customFormat="false" ht="15" hidden="false" customHeight="true" outlineLevel="0" collapsed="false">
      <c r="A85" s="6" t="n">
        <v>12214</v>
      </c>
      <c r="B85" s="6" t="s">
        <v>47</v>
      </c>
      <c r="C85" s="6" t="s">
        <v>187</v>
      </c>
      <c r="D85" s="7" t="s">
        <v>49</v>
      </c>
      <c r="E85" s="7" t="s">
        <v>49</v>
      </c>
      <c r="F85" s="7" t="n">
        <v>1</v>
      </c>
      <c r="G85" s="7" t="n">
        <v>175</v>
      </c>
      <c r="H85" s="7" t="n">
        <v>215</v>
      </c>
      <c r="I85" s="7" t="n">
        <v>235</v>
      </c>
      <c r="J85" s="7" t="n">
        <v>255</v>
      </c>
      <c r="K85" s="8" t="s">
        <v>181</v>
      </c>
      <c r="L85" s="9" t="s">
        <v>46</v>
      </c>
      <c r="M85" s="9" t="n">
        <f aca="false">COUNTIF(Composants!A:A,A85)</f>
        <v>2</v>
      </c>
      <c r="N85" s="0" t="n">
        <v>175</v>
      </c>
    </row>
    <row r="86" customFormat="false" ht="15" hidden="false" customHeight="true" outlineLevel="0" collapsed="false">
      <c r="A86" s="6" t="n">
        <v>12210</v>
      </c>
      <c r="B86" s="6" t="s">
        <v>47</v>
      </c>
      <c r="C86" s="6" t="s">
        <v>188</v>
      </c>
      <c r="D86" s="7" t="s">
        <v>49</v>
      </c>
      <c r="E86" s="7" t="s">
        <v>49</v>
      </c>
      <c r="F86" s="7" t="n">
        <v>1</v>
      </c>
      <c r="G86" s="7" t="n">
        <v>175</v>
      </c>
      <c r="H86" s="7" t="n">
        <v>215</v>
      </c>
      <c r="I86" s="7" t="n">
        <v>235</v>
      </c>
      <c r="J86" s="7" t="n">
        <v>255</v>
      </c>
      <c r="K86" s="8" t="s">
        <v>181</v>
      </c>
      <c r="L86" s="9" t="s">
        <v>46</v>
      </c>
      <c r="M86" s="9" t="n">
        <f aca="false">COUNTIF(Composants!A:A,A86)</f>
        <v>2</v>
      </c>
      <c r="N86" s="0" t="n">
        <v>175</v>
      </c>
    </row>
    <row r="87" customFormat="false" ht="15" hidden="false" customHeight="true" outlineLevel="0" collapsed="false">
      <c r="A87" s="6" t="n">
        <v>12213</v>
      </c>
      <c r="B87" s="6" t="s">
        <v>47</v>
      </c>
      <c r="C87" s="6" t="s">
        <v>189</v>
      </c>
      <c r="D87" s="7" t="s">
        <v>49</v>
      </c>
      <c r="E87" s="7" t="s">
        <v>49</v>
      </c>
      <c r="F87" s="7" t="n">
        <v>1</v>
      </c>
      <c r="G87" s="7" t="n">
        <v>175</v>
      </c>
      <c r="H87" s="7" t="n">
        <v>215</v>
      </c>
      <c r="I87" s="7" t="n">
        <v>235</v>
      </c>
      <c r="J87" s="7" t="n">
        <v>255</v>
      </c>
      <c r="K87" s="8" t="s">
        <v>181</v>
      </c>
      <c r="L87" s="9" t="s">
        <v>46</v>
      </c>
      <c r="M87" s="9" t="n">
        <f aca="false">COUNTIF(Composants!A:A,A87)</f>
        <v>2</v>
      </c>
      <c r="N87" s="0" t="n">
        <v>175</v>
      </c>
    </row>
    <row r="88" customFormat="false" ht="15" hidden="false" customHeight="true" outlineLevel="0" collapsed="false">
      <c r="A88" s="6" t="n">
        <v>8364</v>
      </c>
      <c r="B88" s="6" t="s">
        <v>47</v>
      </c>
      <c r="C88" s="6" t="s">
        <v>190</v>
      </c>
      <c r="D88" s="7" t="s">
        <v>49</v>
      </c>
      <c r="E88" s="7" t="s">
        <v>49</v>
      </c>
      <c r="F88" s="7" t="n">
        <v>1</v>
      </c>
      <c r="G88" s="7" t="n">
        <v>175</v>
      </c>
      <c r="H88" s="7" t="n">
        <v>215</v>
      </c>
      <c r="I88" s="7" t="n">
        <v>235</v>
      </c>
      <c r="J88" s="7" t="n">
        <v>255</v>
      </c>
      <c r="K88" s="8" t="s">
        <v>181</v>
      </c>
      <c r="L88" s="9" t="s">
        <v>46</v>
      </c>
      <c r="M88" s="9" t="n">
        <f aca="false">COUNTIF(Composants!A:A,A88)</f>
        <v>1</v>
      </c>
      <c r="N88" s="0" t="n">
        <v>175</v>
      </c>
    </row>
    <row r="89" customFormat="false" ht="15" hidden="false" customHeight="true" outlineLevel="0" collapsed="false">
      <c r="A89" s="6" t="n">
        <v>249875</v>
      </c>
      <c r="B89" s="6" t="s">
        <v>47</v>
      </c>
      <c r="C89" s="6" t="s">
        <v>191</v>
      </c>
      <c r="D89" s="7" t="s">
        <v>44</v>
      </c>
      <c r="E89" s="7" t="s">
        <v>49</v>
      </c>
      <c r="F89" s="7" t="n">
        <v>1</v>
      </c>
      <c r="G89" s="7" t="n">
        <v>200</v>
      </c>
      <c r="H89" s="7" t="n">
        <v>215</v>
      </c>
      <c r="I89" s="7" t="n">
        <v>220</v>
      </c>
      <c r="J89" s="7" t="n">
        <v>225</v>
      </c>
      <c r="K89" s="8" t="s">
        <v>192</v>
      </c>
      <c r="L89" s="9" t="s">
        <v>46</v>
      </c>
      <c r="M89" s="9" t="n">
        <f aca="false">COUNTIF(Composants!A:A,A89)</f>
        <v>3</v>
      </c>
    </row>
    <row r="90" customFormat="false" ht="15" hidden="false" customHeight="true" outlineLevel="0" collapsed="false">
      <c r="A90" s="6" t="n">
        <v>274971</v>
      </c>
      <c r="B90" s="6" t="s">
        <v>47</v>
      </c>
      <c r="C90" s="6" t="s">
        <v>193</v>
      </c>
      <c r="D90" s="7" t="s">
        <v>44</v>
      </c>
      <c r="E90" s="7" t="s">
        <v>49</v>
      </c>
      <c r="F90" s="7" t="n">
        <v>1</v>
      </c>
      <c r="G90" s="7" t="n">
        <v>200</v>
      </c>
      <c r="H90" s="7" t="n">
        <v>220</v>
      </c>
      <c r="I90" s="7" t="n">
        <v>230</v>
      </c>
      <c r="J90" s="7" t="n">
        <v>240</v>
      </c>
      <c r="K90" s="8" t="s">
        <v>194</v>
      </c>
      <c r="L90" s="9" t="s">
        <v>46</v>
      </c>
      <c r="M90" s="9" t="n">
        <f aca="false">COUNTIF(Composants!A:A,A90)</f>
        <v>3</v>
      </c>
    </row>
    <row r="91" customFormat="false" ht="15" hidden="false" customHeight="true" outlineLevel="0" collapsed="false">
      <c r="A91" s="6" t="n">
        <v>249869</v>
      </c>
      <c r="B91" s="6" t="s">
        <v>47</v>
      </c>
      <c r="C91" s="6" t="s">
        <v>195</v>
      </c>
      <c r="D91" s="7" t="s">
        <v>44</v>
      </c>
      <c r="E91" s="7" t="s">
        <v>49</v>
      </c>
      <c r="F91" s="7" t="n">
        <v>1</v>
      </c>
      <c r="G91" s="7" t="n">
        <v>200</v>
      </c>
      <c r="H91" s="7" t="n">
        <v>220</v>
      </c>
      <c r="I91" s="7" t="n">
        <v>235</v>
      </c>
      <c r="J91" s="7" t="n">
        <v>250</v>
      </c>
      <c r="K91" s="8" t="s">
        <v>196</v>
      </c>
      <c r="L91" s="9" t="s">
        <v>46</v>
      </c>
      <c r="M91" s="9" t="n">
        <f aca="false">COUNTIF(Composants!A:A,A91)</f>
        <v>2</v>
      </c>
    </row>
    <row r="92" customFormat="false" ht="15" hidden="false" customHeight="true" outlineLevel="0" collapsed="false">
      <c r="A92" s="6" t="n">
        <v>250065</v>
      </c>
      <c r="B92" s="6" t="s">
        <v>47</v>
      </c>
      <c r="C92" s="6" t="s">
        <v>197</v>
      </c>
      <c r="D92" s="7" t="s">
        <v>44</v>
      </c>
      <c r="E92" s="7" t="s">
        <v>49</v>
      </c>
      <c r="F92" s="7" t="n">
        <v>1</v>
      </c>
      <c r="G92" s="7" t="n">
        <v>225</v>
      </c>
      <c r="H92" s="7" t="n">
        <v>225</v>
      </c>
      <c r="I92" s="7" t="n">
        <v>240</v>
      </c>
      <c r="J92" s="7" t="n">
        <v>255</v>
      </c>
      <c r="K92" s="8" t="s">
        <v>198</v>
      </c>
      <c r="L92" s="9" t="s">
        <v>46</v>
      </c>
      <c r="M92" s="9" t="n">
        <f aca="false">COUNTIF(Composants!A:A,A92)</f>
        <v>2</v>
      </c>
    </row>
    <row r="93" customFormat="false" ht="15" hidden="false" customHeight="true" outlineLevel="0" collapsed="false">
      <c r="A93" s="6" t="n">
        <v>250076</v>
      </c>
      <c r="B93" s="6" t="s">
        <v>47</v>
      </c>
      <c r="C93" s="6" t="s">
        <v>199</v>
      </c>
      <c r="D93" s="7" t="s">
        <v>44</v>
      </c>
      <c r="E93" s="7" t="s">
        <v>49</v>
      </c>
      <c r="F93" s="7" t="n">
        <v>1</v>
      </c>
      <c r="G93" s="7" t="n">
        <v>225</v>
      </c>
      <c r="H93" s="7" t="n">
        <v>225</v>
      </c>
      <c r="I93" s="7" t="n">
        <v>238</v>
      </c>
      <c r="J93" s="7" t="n">
        <v>250</v>
      </c>
      <c r="K93" s="8" t="s">
        <v>200</v>
      </c>
      <c r="L93" s="9" t="s">
        <v>46</v>
      </c>
      <c r="M93" s="9" t="n">
        <f aca="false">COUNTIF(Composants!A:A,A93)</f>
        <v>2</v>
      </c>
    </row>
    <row r="94" customFormat="false" ht="15" hidden="false" customHeight="true" outlineLevel="0" collapsed="false">
      <c r="A94" s="6" t="n">
        <v>17222</v>
      </c>
      <c r="B94" s="6" t="s">
        <v>47</v>
      </c>
      <c r="C94" s="6" t="s">
        <v>201</v>
      </c>
      <c r="D94" s="7" t="s">
        <v>49</v>
      </c>
      <c r="E94" s="7" t="s">
        <v>44</v>
      </c>
      <c r="F94" s="7" t="n">
        <v>1</v>
      </c>
      <c r="G94" s="7"/>
      <c r="H94" s="7" t="n">
        <v>240</v>
      </c>
      <c r="I94" s="7" t="n">
        <v>260</v>
      </c>
      <c r="J94" s="7" t="n">
        <v>280</v>
      </c>
      <c r="K94" s="8" t="s">
        <v>202</v>
      </c>
      <c r="L94" s="9" t="s">
        <v>46</v>
      </c>
      <c r="M94" s="9" t="n">
        <f aca="false">COUNTIF(Composants!A:A,A94)</f>
        <v>1</v>
      </c>
      <c r="N94" s="0" t="n">
        <v>200</v>
      </c>
    </row>
    <row r="95" customFormat="false" ht="15" hidden="false" customHeight="true" outlineLevel="0" collapsed="false">
      <c r="A95" s="6" t="n">
        <v>12217</v>
      </c>
      <c r="B95" s="6" t="s">
        <v>47</v>
      </c>
      <c r="C95" s="6" t="s">
        <v>203</v>
      </c>
      <c r="D95" s="7" t="s">
        <v>49</v>
      </c>
      <c r="E95" s="7" t="s">
        <v>49</v>
      </c>
      <c r="F95" s="7" t="n">
        <v>1</v>
      </c>
      <c r="G95" s="7" t="n">
        <v>200</v>
      </c>
      <c r="H95" s="7" t="n">
        <v>240</v>
      </c>
      <c r="I95" s="7" t="n">
        <v>260</v>
      </c>
      <c r="J95" s="7" t="n">
        <v>280</v>
      </c>
      <c r="K95" s="8" t="s">
        <v>204</v>
      </c>
      <c r="L95" s="9" t="s">
        <v>46</v>
      </c>
      <c r="M95" s="9" t="n">
        <f aca="false">COUNTIF(Composants!A:A,A95)</f>
        <v>3</v>
      </c>
      <c r="N95" s="0" t="n">
        <v>200</v>
      </c>
    </row>
    <row r="96" customFormat="false" ht="15" hidden="false" customHeight="true" outlineLevel="0" collapsed="false">
      <c r="A96" s="6" t="n">
        <v>12215</v>
      </c>
      <c r="B96" s="6" t="s">
        <v>47</v>
      </c>
      <c r="C96" s="6" t="s">
        <v>205</v>
      </c>
      <c r="D96" s="7" t="s">
        <v>49</v>
      </c>
      <c r="E96" s="7" t="s">
        <v>49</v>
      </c>
      <c r="F96" s="7" t="n">
        <v>2</v>
      </c>
      <c r="G96" s="7" t="n">
        <v>200</v>
      </c>
      <c r="H96" s="7" t="n">
        <v>240</v>
      </c>
      <c r="I96" s="7" t="n">
        <v>260</v>
      </c>
      <c r="J96" s="7" t="n">
        <v>280</v>
      </c>
      <c r="K96" s="8" t="s">
        <v>204</v>
      </c>
      <c r="L96" s="9" t="s">
        <v>46</v>
      </c>
      <c r="M96" s="9" t="n">
        <f aca="false">COUNTIF(Composants!A:A,A96)</f>
        <v>3</v>
      </c>
      <c r="N96" s="0" t="n">
        <v>200</v>
      </c>
    </row>
    <row r="97" customFormat="false" ht="15" hidden="false" customHeight="true" outlineLevel="0" collapsed="false">
      <c r="A97" s="10" t="n">
        <v>249876</v>
      </c>
      <c r="B97" s="10" t="s">
        <v>47</v>
      </c>
      <c r="C97" s="10" t="s">
        <v>206</v>
      </c>
      <c r="D97" s="11" t="s">
        <v>44</v>
      </c>
      <c r="E97" s="11" t="s">
        <v>49</v>
      </c>
      <c r="F97" s="11" t="n">
        <v>1</v>
      </c>
      <c r="G97" s="11"/>
      <c r="H97" s="11"/>
      <c r="I97" s="11"/>
      <c r="J97" s="11"/>
      <c r="K97" s="12" t="s">
        <v>207</v>
      </c>
      <c r="L97" s="13" t="s">
        <v>51</v>
      </c>
      <c r="M97" s="13" t="n">
        <f aca="false">COUNTIF(Composants!A:A,A97)</f>
        <v>3</v>
      </c>
    </row>
    <row r="98" customFormat="false" ht="15" hidden="false" customHeight="true" outlineLevel="0" collapsed="false">
      <c r="A98" s="6" t="n">
        <v>286152</v>
      </c>
      <c r="B98" s="6" t="s">
        <v>47</v>
      </c>
      <c r="C98" s="6" t="s">
        <v>208</v>
      </c>
      <c r="D98" s="7" t="s">
        <v>44</v>
      </c>
      <c r="E98" s="7" t="s">
        <v>49</v>
      </c>
      <c r="F98" s="7" t="n">
        <v>1</v>
      </c>
      <c r="G98" s="7" t="n">
        <v>225</v>
      </c>
      <c r="H98" s="7" t="n">
        <v>245</v>
      </c>
      <c r="I98" s="7" t="n">
        <v>250</v>
      </c>
      <c r="J98" s="7" t="n">
        <v>255</v>
      </c>
      <c r="K98" s="8" t="s">
        <v>209</v>
      </c>
      <c r="L98" s="9" t="s">
        <v>46</v>
      </c>
      <c r="M98" s="9" t="n">
        <f aca="false">COUNTIF(Composants!A:A,A98)</f>
        <v>2</v>
      </c>
    </row>
    <row r="99" customFormat="false" ht="15" hidden="false" customHeight="true" outlineLevel="0" collapsed="false">
      <c r="A99" s="6" t="n">
        <v>238638</v>
      </c>
      <c r="B99" s="6" t="s">
        <v>47</v>
      </c>
      <c r="C99" s="6" t="s">
        <v>210</v>
      </c>
      <c r="D99" s="7" t="s">
        <v>49</v>
      </c>
      <c r="E99" s="7" t="s">
        <v>49</v>
      </c>
      <c r="F99" s="7" t="n">
        <v>2</v>
      </c>
      <c r="G99" s="7" t="n">
        <v>250</v>
      </c>
      <c r="H99" s="7" t="n">
        <v>260</v>
      </c>
      <c r="I99" s="7" t="n">
        <v>270</v>
      </c>
      <c r="J99" s="7" t="n">
        <v>280</v>
      </c>
      <c r="K99" s="8" t="s">
        <v>211</v>
      </c>
      <c r="L99" s="9" t="s">
        <v>46</v>
      </c>
      <c r="M99" s="9" t="n">
        <f aca="false">COUNTIF(Composants!A:A,A99)</f>
        <v>2</v>
      </c>
    </row>
    <row r="100" customFormat="false" ht="15" hidden="false" customHeight="true" outlineLevel="0" collapsed="false">
      <c r="A100" s="6" t="n">
        <v>238639</v>
      </c>
      <c r="B100" s="6" t="s">
        <v>47</v>
      </c>
      <c r="C100" s="6" t="s">
        <v>212</v>
      </c>
      <c r="D100" s="7" t="s">
        <v>49</v>
      </c>
      <c r="E100" s="7" t="s">
        <v>49</v>
      </c>
      <c r="F100" s="7" t="n">
        <v>2</v>
      </c>
      <c r="G100" s="7" t="n">
        <v>250</v>
      </c>
      <c r="H100" s="7" t="n">
        <v>260</v>
      </c>
      <c r="I100" s="7" t="n">
        <v>270</v>
      </c>
      <c r="J100" s="7" t="n">
        <v>280</v>
      </c>
      <c r="K100" s="8" t="s">
        <v>211</v>
      </c>
      <c r="L100" s="9" t="s">
        <v>46</v>
      </c>
      <c r="M100" s="9" t="n">
        <f aca="false">COUNTIF(Composants!A:A,A100)</f>
        <v>2</v>
      </c>
    </row>
    <row r="101" customFormat="false" ht="15" hidden="false" customHeight="true" outlineLevel="0" collapsed="false">
      <c r="A101" s="6" t="n">
        <v>238637</v>
      </c>
      <c r="B101" s="6" t="s">
        <v>47</v>
      </c>
      <c r="C101" s="6" t="s">
        <v>213</v>
      </c>
      <c r="D101" s="7" t="s">
        <v>49</v>
      </c>
      <c r="E101" s="7" t="s">
        <v>49</v>
      </c>
      <c r="F101" s="7" t="n">
        <v>2</v>
      </c>
      <c r="G101" s="7" t="n">
        <v>250</v>
      </c>
      <c r="H101" s="7" t="n">
        <v>260</v>
      </c>
      <c r="I101" s="7" t="n">
        <v>270</v>
      </c>
      <c r="J101" s="7" t="n">
        <v>280</v>
      </c>
      <c r="K101" s="8" t="s">
        <v>211</v>
      </c>
      <c r="L101" s="9" t="s">
        <v>46</v>
      </c>
      <c r="M101" s="9" t="n">
        <f aca="false">COUNTIF(Composants!A:A,A101)</f>
        <v>2</v>
      </c>
    </row>
    <row r="102" customFormat="false" ht="15" hidden="false" customHeight="true" outlineLevel="0" collapsed="false">
      <c r="A102" s="6" t="n">
        <v>249870</v>
      </c>
      <c r="B102" s="6" t="s">
        <v>47</v>
      </c>
      <c r="C102" s="6" t="s">
        <v>214</v>
      </c>
      <c r="D102" s="7" t="s">
        <v>44</v>
      </c>
      <c r="E102" s="7" t="s">
        <v>49</v>
      </c>
      <c r="F102" s="7" t="n">
        <v>1</v>
      </c>
      <c r="G102" s="7" t="n">
        <v>250</v>
      </c>
      <c r="H102" s="7" t="n">
        <v>260</v>
      </c>
      <c r="I102" s="7" t="n">
        <v>275</v>
      </c>
      <c r="J102" s="7" t="n">
        <v>290</v>
      </c>
      <c r="K102" s="8" t="s">
        <v>215</v>
      </c>
      <c r="L102" s="9" t="s">
        <v>46</v>
      </c>
      <c r="M102" s="9" t="n">
        <f aca="false">COUNTIF(Composants!A:A,A102)</f>
        <v>2</v>
      </c>
    </row>
    <row r="103" customFormat="false" ht="15" hidden="false" customHeight="true" outlineLevel="0" collapsed="false">
      <c r="A103" s="10" t="n">
        <v>250075</v>
      </c>
      <c r="B103" s="10" t="s">
        <v>47</v>
      </c>
      <c r="C103" s="10" t="s">
        <v>216</v>
      </c>
      <c r="D103" s="11" t="s">
        <v>44</v>
      </c>
      <c r="E103" s="11" t="s">
        <v>49</v>
      </c>
      <c r="F103" s="11" t="n">
        <v>1</v>
      </c>
      <c r="G103" s="11"/>
      <c r="H103" s="11"/>
      <c r="I103" s="11"/>
      <c r="J103" s="11"/>
      <c r="K103" s="12" t="s">
        <v>217</v>
      </c>
      <c r="L103" s="13" t="s">
        <v>51</v>
      </c>
      <c r="M103" s="13" t="n">
        <f aca="false">COUNTIF(Composants!A:A,A103)</f>
        <v>2</v>
      </c>
    </row>
    <row r="104" customFormat="false" ht="15" hidden="false" customHeight="true" outlineLevel="0" collapsed="false">
      <c r="A104" s="10" t="n">
        <v>250068</v>
      </c>
      <c r="B104" s="10" t="s">
        <v>47</v>
      </c>
      <c r="C104" s="10" t="s">
        <v>218</v>
      </c>
      <c r="D104" s="11" t="s">
        <v>44</v>
      </c>
      <c r="E104" s="11" t="s">
        <v>49</v>
      </c>
      <c r="F104" s="11" t="n">
        <v>1</v>
      </c>
      <c r="G104" s="11"/>
      <c r="H104" s="11"/>
      <c r="I104" s="11"/>
      <c r="J104" s="11"/>
      <c r="K104" s="12" t="s">
        <v>217</v>
      </c>
      <c r="L104" s="13" t="s">
        <v>51</v>
      </c>
      <c r="M104" s="13" t="n">
        <f aca="false">COUNTIF(Composants!A:A,A104)</f>
        <v>2</v>
      </c>
    </row>
    <row r="105" customFormat="false" ht="15" hidden="false" customHeight="true" outlineLevel="0" collapsed="false">
      <c r="A105" s="10" t="n">
        <v>250071</v>
      </c>
      <c r="B105" s="10" t="s">
        <v>47</v>
      </c>
      <c r="C105" s="10" t="s">
        <v>219</v>
      </c>
      <c r="D105" s="11" t="s">
        <v>44</v>
      </c>
      <c r="E105" s="11" t="s">
        <v>49</v>
      </c>
      <c r="F105" s="11" t="n">
        <v>1</v>
      </c>
      <c r="G105" s="11"/>
      <c r="H105" s="11"/>
      <c r="I105" s="11"/>
      <c r="J105" s="11"/>
      <c r="K105" s="12" t="s">
        <v>217</v>
      </c>
      <c r="L105" s="13" t="s">
        <v>51</v>
      </c>
      <c r="M105" s="13" t="n">
        <f aca="false">COUNTIF(Composants!A:A,A105)</f>
        <v>2</v>
      </c>
    </row>
    <row r="106" customFormat="false" ht="15" hidden="false" customHeight="true" outlineLevel="0" collapsed="false">
      <c r="A106" s="6" t="n">
        <v>13927</v>
      </c>
      <c r="B106" s="6" t="s">
        <v>47</v>
      </c>
      <c r="C106" s="6" t="s">
        <v>220</v>
      </c>
      <c r="D106" s="7" t="s">
        <v>49</v>
      </c>
      <c r="E106" s="7" t="s">
        <v>49</v>
      </c>
      <c r="F106" s="7" t="n">
        <v>1</v>
      </c>
      <c r="G106" s="7" t="n">
        <v>225</v>
      </c>
      <c r="H106" s="7" t="n">
        <v>265</v>
      </c>
      <c r="I106" s="7" t="n">
        <v>285</v>
      </c>
      <c r="J106" s="7" t="n">
        <v>305</v>
      </c>
      <c r="K106" s="8" t="s">
        <v>221</v>
      </c>
      <c r="L106" s="9" t="s">
        <v>46</v>
      </c>
      <c r="M106" s="9" t="n">
        <f aca="false">COUNTIF(Composants!A:A,A106)</f>
        <v>2</v>
      </c>
      <c r="N106" s="0" t="n">
        <v>225</v>
      </c>
    </row>
    <row r="107" customFormat="false" ht="15" hidden="false" customHeight="true" outlineLevel="0" collapsed="false">
      <c r="A107" s="6" t="n">
        <v>12216</v>
      </c>
      <c r="B107" s="6" t="s">
        <v>47</v>
      </c>
      <c r="C107" s="6" t="s">
        <v>222</v>
      </c>
      <c r="D107" s="7" t="s">
        <v>49</v>
      </c>
      <c r="E107" s="7" t="s">
        <v>49</v>
      </c>
      <c r="F107" s="7" t="n">
        <v>1</v>
      </c>
      <c r="G107" s="7" t="n">
        <v>225</v>
      </c>
      <c r="H107" s="7" t="n">
        <v>265</v>
      </c>
      <c r="I107" s="7" t="n">
        <v>285</v>
      </c>
      <c r="J107" s="7" t="n">
        <v>305</v>
      </c>
      <c r="K107" s="8" t="s">
        <v>221</v>
      </c>
      <c r="L107" s="9" t="s">
        <v>46</v>
      </c>
      <c r="M107" s="9" t="n">
        <f aca="false">COUNTIF(Composants!A:A,A107)</f>
        <v>2</v>
      </c>
      <c r="N107" s="0" t="n">
        <v>225</v>
      </c>
    </row>
    <row r="108" customFormat="false" ht="15" hidden="false" customHeight="true" outlineLevel="0" collapsed="false">
      <c r="A108" s="6" t="n">
        <v>13930</v>
      </c>
      <c r="B108" s="6" t="s">
        <v>47</v>
      </c>
      <c r="C108" s="6" t="s">
        <v>223</v>
      </c>
      <c r="D108" s="7" t="s">
        <v>49</v>
      </c>
      <c r="E108" s="7" t="s">
        <v>49</v>
      </c>
      <c r="F108" s="7" t="n">
        <v>1</v>
      </c>
      <c r="G108" s="7" t="n">
        <v>225</v>
      </c>
      <c r="H108" s="7" t="n">
        <v>265</v>
      </c>
      <c r="I108" s="7" t="n">
        <v>285</v>
      </c>
      <c r="J108" s="7" t="n">
        <v>305</v>
      </c>
      <c r="K108" s="8" t="s">
        <v>221</v>
      </c>
      <c r="L108" s="9" t="s">
        <v>46</v>
      </c>
      <c r="M108" s="9" t="n">
        <f aca="false">COUNTIF(Composants!A:A,A108)</f>
        <v>1</v>
      </c>
      <c r="N108" s="0" t="n">
        <v>225</v>
      </c>
    </row>
    <row r="109" customFormat="false" ht="15" hidden="false" customHeight="true" outlineLevel="0" collapsed="false">
      <c r="A109" s="6" t="n">
        <v>6887</v>
      </c>
      <c r="B109" s="6" t="s">
        <v>47</v>
      </c>
      <c r="C109" s="6" t="s">
        <v>224</v>
      </c>
      <c r="D109" s="7" t="s">
        <v>49</v>
      </c>
      <c r="E109" s="7" t="s">
        <v>49</v>
      </c>
      <c r="F109" s="7" t="n">
        <v>1</v>
      </c>
      <c r="G109" s="7" t="n">
        <v>225</v>
      </c>
      <c r="H109" s="7" t="n">
        <v>265</v>
      </c>
      <c r="I109" s="7" t="n">
        <v>285</v>
      </c>
      <c r="J109" s="7" t="n">
        <v>305</v>
      </c>
      <c r="K109" s="8" t="s">
        <v>221</v>
      </c>
      <c r="L109" s="9" t="s">
        <v>46</v>
      </c>
      <c r="M109" s="9" t="n">
        <f aca="false">COUNTIF(Composants!A:A,A109)</f>
        <v>1</v>
      </c>
      <c r="N109" s="0" t="n">
        <v>225</v>
      </c>
    </row>
    <row r="110" customFormat="false" ht="15" hidden="false" customHeight="true" outlineLevel="0" collapsed="false">
      <c r="A110" s="6" t="n">
        <v>12218</v>
      </c>
      <c r="B110" s="6" t="s">
        <v>47</v>
      </c>
      <c r="C110" s="6" t="s">
        <v>225</v>
      </c>
      <c r="D110" s="7" t="s">
        <v>49</v>
      </c>
      <c r="E110" s="7" t="s">
        <v>49</v>
      </c>
      <c r="F110" s="7" t="n">
        <v>1</v>
      </c>
      <c r="G110" s="7" t="n">
        <v>225</v>
      </c>
      <c r="H110" s="7" t="n">
        <v>265</v>
      </c>
      <c r="I110" s="7" t="n">
        <v>285</v>
      </c>
      <c r="J110" s="7" t="n">
        <v>305</v>
      </c>
      <c r="K110" s="8" t="s">
        <v>221</v>
      </c>
      <c r="L110" s="9" t="s">
        <v>46</v>
      </c>
      <c r="M110" s="9" t="n">
        <f aca="false">COUNTIF(Composants!A:A,A110)</f>
        <v>2</v>
      </c>
      <c r="N110" s="0" t="n">
        <v>225</v>
      </c>
    </row>
    <row r="111" customFormat="false" ht="15" hidden="false" customHeight="true" outlineLevel="0" collapsed="false">
      <c r="A111" s="6" t="n">
        <v>16766</v>
      </c>
      <c r="B111" s="6" t="s">
        <v>47</v>
      </c>
      <c r="C111" s="6" t="s">
        <v>226</v>
      </c>
      <c r="D111" s="7" t="s">
        <v>49</v>
      </c>
      <c r="E111" s="7" t="s">
        <v>49</v>
      </c>
      <c r="F111" s="7" t="n">
        <v>2</v>
      </c>
      <c r="G111" s="7" t="n">
        <v>225</v>
      </c>
      <c r="H111" s="7" t="n">
        <v>265</v>
      </c>
      <c r="I111" s="7" t="n">
        <v>285</v>
      </c>
      <c r="J111" s="7" t="n">
        <v>305</v>
      </c>
      <c r="K111" s="8" t="s">
        <v>221</v>
      </c>
      <c r="L111" s="9" t="s">
        <v>46</v>
      </c>
      <c r="M111" s="9" t="n">
        <f aca="false">COUNTIF(Composants!A:A,A111)</f>
        <v>3</v>
      </c>
      <c r="N111" s="0" t="n">
        <v>225</v>
      </c>
    </row>
    <row r="112" customFormat="false" ht="15" hidden="false" customHeight="true" outlineLevel="0" collapsed="false">
      <c r="A112" s="6" t="n">
        <v>18045</v>
      </c>
      <c r="B112" s="6" t="s">
        <v>47</v>
      </c>
      <c r="C112" s="6" t="s">
        <v>227</v>
      </c>
      <c r="D112" s="7" t="s">
        <v>49</v>
      </c>
      <c r="E112" s="7" t="s">
        <v>49</v>
      </c>
      <c r="F112" s="7" t="n">
        <v>1</v>
      </c>
      <c r="G112" s="7" t="n">
        <v>225</v>
      </c>
      <c r="H112" s="7" t="n">
        <v>265</v>
      </c>
      <c r="I112" s="7" t="n">
        <v>285</v>
      </c>
      <c r="J112" s="7" t="n">
        <v>305</v>
      </c>
      <c r="K112" s="8" t="s">
        <v>221</v>
      </c>
      <c r="L112" s="9" t="s">
        <v>46</v>
      </c>
      <c r="M112" s="9" t="n">
        <f aca="false">COUNTIF(Composants!A:A,A112)</f>
        <v>2</v>
      </c>
      <c r="N112" s="0" t="n">
        <v>225</v>
      </c>
    </row>
    <row r="113" customFormat="false" ht="15" hidden="false" customHeight="false" outlineLevel="0" collapsed="false">
      <c r="A113" s="6" t="n">
        <v>13928</v>
      </c>
      <c r="B113" s="6" t="s">
        <v>47</v>
      </c>
      <c r="C113" s="6" t="s">
        <v>228</v>
      </c>
      <c r="D113" s="7" t="s">
        <v>49</v>
      </c>
      <c r="E113" s="7" t="s">
        <v>49</v>
      </c>
      <c r="F113" s="7" t="n">
        <v>1</v>
      </c>
      <c r="G113" s="7" t="n">
        <v>240</v>
      </c>
      <c r="H113" s="7" t="n">
        <v>280</v>
      </c>
      <c r="I113" s="7" t="n">
        <v>300</v>
      </c>
      <c r="J113" s="7" t="n">
        <v>320</v>
      </c>
      <c r="K113" s="8" t="s">
        <v>229</v>
      </c>
      <c r="L113" s="9" t="s">
        <v>46</v>
      </c>
      <c r="M113" s="9" t="n">
        <f aca="false">COUNTIF(Composants!A:A,A113)</f>
        <v>2</v>
      </c>
      <c r="N113" s="0" t="n">
        <v>240</v>
      </c>
    </row>
    <row r="114" customFormat="false" ht="15" hidden="false" customHeight="false" outlineLevel="0" collapsed="false">
      <c r="A114" s="6" t="n">
        <v>13929</v>
      </c>
      <c r="B114" s="6" t="s">
        <v>47</v>
      </c>
      <c r="C114" s="6" t="s">
        <v>230</v>
      </c>
      <c r="D114" s="7" t="s">
        <v>49</v>
      </c>
      <c r="E114" s="7" t="s">
        <v>49</v>
      </c>
      <c r="F114" s="7" t="n">
        <v>1</v>
      </c>
      <c r="G114" s="7" t="n">
        <v>240</v>
      </c>
      <c r="H114" s="7" t="n">
        <v>280</v>
      </c>
      <c r="I114" s="7" t="n">
        <v>300</v>
      </c>
      <c r="J114" s="7" t="n">
        <v>320</v>
      </c>
      <c r="K114" s="8" t="s">
        <v>229</v>
      </c>
      <c r="L114" s="9" t="s">
        <v>46</v>
      </c>
      <c r="M114" s="9" t="n">
        <f aca="false">COUNTIF(Composants!A:A,A114)</f>
        <v>2</v>
      </c>
      <c r="N114" s="0" t="n">
        <v>240</v>
      </c>
    </row>
    <row r="115" customFormat="false" ht="15" hidden="false" customHeight="false" outlineLevel="0" collapsed="false">
      <c r="A115" s="6" t="n">
        <v>13931</v>
      </c>
      <c r="B115" s="6" t="s">
        <v>47</v>
      </c>
      <c r="C115" s="6" t="s">
        <v>231</v>
      </c>
      <c r="D115" s="7" t="s">
        <v>49</v>
      </c>
      <c r="E115" s="7" t="s">
        <v>49</v>
      </c>
      <c r="F115" s="7" t="n">
        <v>1</v>
      </c>
      <c r="G115" s="7" t="n">
        <v>250</v>
      </c>
      <c r="H115" s="7" t="n">
        <v>290</v>
      </c>
      <c r="I115" s="7" t="n">
        <v>310</v>
      </c>
      <c r="J115" s="7" t="n">
        <v>330</v>
      </c>
      <c r="K115" s="8" t="s">
        <v>232</v>
      </c>
      <c r="L115" s="9" t="s">
        <v>46</v>
      </c>
      <c r="M115" s="9" t="n">
        <f aca="false">COUNTIF(Composants!A:A,A115)</f>
        <v>2</v>
      </c>
      <c r="N115" s="0" t="n">
        <v>250</v>
      </c>
    </row>
    <row r="116" customFormat="false" ht="15" hidden="false" customHeight="false" outlineLevel="0" collapsed="false">
      <c r="A116" s="6" t="n">
        <v>13932</v>
      </c>
      <c r="B116" s="6" t="s">
        <v>47</v>
      </c>
      <c r="C116" s="6" t="s">
        <v>233</v>
      </c>
      <c r="D116" s="7" t="s">
        <v>49</v>
      </c>
      <c r="E116" s="7" t="s">
        <v>49</v>
      </c>
      <c r="F116" s="7" t="n">
        <v>1</v>
      </c>
      <c r="G116" s="7" t="n">
        <v>250</v>
      </c>
      <c r="H116" s="7" t="n">
        <v>290</v>
      </c>
      <c r="I116" s="7" t="n">
        <v>310</v>
      </c>
      <c r="J116" s="7" t="n">
        <v>330</v>
      </c>
      <c r="K116" s="8" t="s">
        <v>232</v>
      </c>
      <c r="L116" s="9" t="s">
        <v>46</v>
      </c>
      <c r="M116" s="9" t="n">
        <f aca="false">COUNTIF(Composants!A:A,A116)</f>
        <v>1</v>
      </c>
      <c r="N116" s="0" t="n">
        <v>250</v>
      </c>
    </row>
    <row r="117" customFormat="false" ht="15" hidden="false" customHeight="false" outlineLevel="0" collapsed="false">
      <c r="A117" s="6" t="n">
        <v>13933</v>
      </c>
      <c r="B117" s="6" t="s">
        <v>47</v>
      </c>
      <c r="C117" s="6" t="s">
        <v>234</v>
      </c>
      <c r="D117" s="7" t="s">
        <v>49</v>
      </c>
      <c r="E117" s="7" t="s">
        <v>49</v>
      </c>
      <c r="F117" s="7" t="n">
        <v>1</v>
      </c>
      <c r="G117" s="7" t="n">
        <v>275</v>
      </c>
      <c r="H117" s="7" t="n">
        <v>315</v>
      </c>
      <c r="I117" s="7" t="n">
        <v>335</v>
      </c>
      <c r="J117" s="7" t="n">
        <v>355</v>
      </c>
      <c r="K117" s="8" t="s">
        <v>235</v>
      </c>
      <c r="L117" s="9" t="s">
        <v>46</v>
      </c>
      <c r="M117" s="9" t="n">
        <f aca="false">COUNTIF(Composants!A:A,A117)</f>
        <v>2</v>
      </c>
      <c r="N117" s="0" t="n">
        <v>275</v>
      </c>
    </row>
    <row r="118" customFormat="false" ht="15" hidden="false" customHeight="false" outlineLevel="0" collapsed="false">
      <c r="A118" s="6" t="n">
        <v>13934</v>
      </c>
      <c r="B118" s="6" t="s">
        <v>47</v>
      </c>
      <c r="C118" s="6" t="s">
        <v>236</v>
      </c>
      <c r="D118" s="7" t="s">
        <v>49</v>
      </c>
      <c r="E118" s="7" t="s">
        <v>49</v>
      </c>
      <c r="F118" s="7" t="n">
        <v>1</v>
      </c>
      <c r="G118" s="7" t="n">
        <v>275</v>
      </c>
      <c r="H118" s="7" t="n">
        <v>315</v>
      </c>
      <c r="I118" s="7" t="n">
        <v>335</v>
      </c>
      <c r="J118" s="7" t="n">
        <v>355</v>
      </c>
      <c r="K118" s="8" t="s">
        <v>235</v>
      </c>
      <c r="L118" s="9" t="s">
        <v>46</v>
      </c>
      <c r="M118" s="9" t="n">
        <f aca="false">COUNTIF(Composants!A:A,A118)</f>
        <v>3</v>
      </c>
      <c r="N118" s="0" t="n">
        <v>275</v>
      </c>
    </row>
    <row r="119" customFormat="false" ht="15" hidden="false" customHeight="false" outlineLevel="0" collapsed="false">
      <c r="A119" s="6" t="n">
        <v>13935</v>
      </c>
      <c r="B119" s="6" t="s">
        <v>47</v>
      </c>
      <c r="C119" s="6" t="s">
        <v>237</v>
      </c>
      <c r="D119" s="7" t="s">
        <v>49</v>
      </c>
      <c r="E119" s="7" t="s">
        <v>49</v>
      </c>
      <c r="F119" s="7" t="n">
        <v>1</v>
      </c>
      <c r="G119" s="7" t="n">
        <v>275</v>
      </c>
      <c r="H119" s="7" t="n">
        <v>315</v>
      </c>
      <c r="I119" s="7" t="n">
        <v>335</v>
      </c>
      <c r="J119" s="7" t="n">
        <v>355</v>
      </c>
      <c r="K119" s="8" t="s">
        <v>235</v>
      </c>
      <c r="L119" s="9" t="s">
        <v>46</v>
      </c>
      <c r="M119" s="9" t="n">
        <f aca="false">COUNTIF(Composants!A:A,A119)</f>
        <v>2</v>
      </c>
      <c r="N119" s="0" t="n">
        <v>275</v>
      </c>
    </row>
    <row r="120" customFormat="false" ht="15" hidden="false" customHeight="false" outlineLevel="0" collapsed="false">
      <c r="A120" s="6" t="n">
        <v>18254</v>
      </c>
      <c r="B120" s="6" t="s">
        <v>47</v>
      </c>
      <c r="C120" s="6" t="s">
        <v>238</v>
      </c>
      <c r="D120" s="7" t="s">
        <v>49</v>
      </c>
      <c r="E120" s="7" t="s">
        <v>49</v>
      </c>
      <c r="F120" s="7" t="n">
        <v>1</v>
      </c>
      <c r="G120" s="7" t="n">
        <v>275</v>
      </c>
      <c r="H120" s="7" t="n">
        <v>315</v>
      </c>
      <c r="I120" s="7" t="n">
        <v>335</v>
      </c>
      <c r="J120" s="7" t="n">
        <v>355</v>
      </c>
      <c r="K120" s="8" t="s">
        <v>235</v>
      </c>
      <c r="L120" s="9" t="s">
        <v>46</v>
      </c>
      <c r="M120" s="9" t="n">
        <f aca="false">COUNTIF(Composants!A:A,A120)</f>
        <v>2</v>
      </c>
      <c r="N120" s="0" t="n">
        <v>275</v>
      </c>
    </row>
    <row r="121" customFormat="false" ht="15" hidden="false" customHeight="false" outlineLevel="0" collapsed="false">
      <c r="A121" s="6" t="n">
        <v>20452</v>
      </c>
      <c r="B121" s="6" t="s">
        <v>47</v>
      </c>
      <c r="C121" s="6" t="s">
        <v>239</v>
      </c>
      <c r="D121" s="7" t="s">
        <v>49</v>
      </c>
      <c r="E121" s="7" t="s">
        <v>44</v>
      </c>
      <c r="F121" s="7" t="n">
        <v>1</v>
      </c>
      <c r="G121" s="7" t="n">
        <v>285</v>
      </c>
      <c r="H121" s="7" t="n">
        <v>325</v>
      </c>
      <c r="I121" s="7" t="n">
        <v>345</v>
      </c>
      <c r="J121" s="7" t="n">
        <v>365</v>
      </c>
      <c r="K121" s="8" t="s">
        <v>240</v>
      </c>
      <c r="L121" s="9" t="s">
        <v>46</v>
      </c>
      <c r="M121" s="9" t="n">
        <f aca="false">COUNTIF(Composants!A:A,A121)</f>
        <v>2</v>
      </c>
      <c r="N121" s="0" t="n">
        <v>285</v>
      </c>
    </row>
    <row r="122" customFormat="false" ht="15" hidden="false" customHeight="false" outlineLevel="0" collapsed="false">
      <c r="A122" s="6" t="n">
        <v>21023</v>
      </c>
      <c r="B122" s="6" t="s">
        <v>47</v>
      </c>
      <c r="C122" s="6" t="s">
        <v>241</v>
      </c>
      <c r="D122" s="7" t="s">
        <v>49</v>
      </c>
      <c r="E122" s="7" t="s">
        <v>49</v>
      </c>
      <c r="F122" s="7" t="n">
        <v>5</v>
      </c>
      <c r="G122" s="7" t="n">
        <v>300</v>
      </c>
      <c r="H122" s="7" t="n">
        <v>325</v>
      </c>
      <c r="I122" s="7" t="n">
        <v>345</v>
      </c>
      <c r="J122" s="7" t="n">
        <v>365</v>
      </c>
      <c r="K122" s="8" t="s">
        <v>242</v>
      </c>
      <c r="L122" s="9" t="s">
        <v>46</v>
      </c>
      <c r="M122" s="9" t="n">
        <f aca="false">COUNTIF(Composants!A:A,A122)</f>
        <v>4</v>
      </c>
      <c r="N122" s="0" t="n">
        <v>300</v>
      </c>
    </row>
  </sheetData>
  <autoFilter ref="A1:M112"/>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M1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9"/>
    <col collapsed="false" customWidth="true" hidden="false" outlineLevel="0" max="2" min="2" style="1" width="13"/>
    <col collapsed="false" customWidth="true" hidden="false" outlineLevel="0" max="4" min="3" style="1" width="12"/>
    <col collapsed="false" customWidth="true" hidden="false" outlineLevel="0" max="5" min="5" style="1" width="36"/>
    <col collapsed="false" customWidth="true" hidden="false" outlineLevel="0" max="6" min="6" style="1" width="11"/>
    <col collapsed="false" customWidth="true" hidden="false" outlineLevel="0" max="7" min="7" style="1" width="10"/>
    <col collapsed="false" customWidth="true" hidden="false" outlineLevel="0" max="8" min="8" style="1" width="11"/>
    <col collapsed="false" customWidth="true" hidden="false" outlineLevel="0" max="9" min="9" style="1" width="10"/>
    <col collapsed="false" customWidth="true" hidden="false" outlineLevel="0" max="10" min="10" style="1" width="26"/>
    <col collapsed="false" customWidth="true" hidden="false" outlineLevel="0" max="11" min="11" style="1" width="62"/>
    <col collapsed="false" customWidth="true" hidden="false" outlineLevel="0" max="12" min="12" style="1" width="14"/>
    <col collapsed="false" customWidth="true" hidden="false" outlineLevel="0" max="13" min="13" style="0" width="70"/>
  </cols>
  <sheetData>
    <row r="1" customFormat="false" ht="31.5" hidden="false" customHeight="true" outlineLevel="0" collapsed="false">
      <c r="A1" s="5" t="s">
        <v>243</v>
      </c>
      <c r="B1" s="5" t="s">
        <v>244</v>
      </c>
      <c r="C1" s="5" t="s">
        <v>245</v>
      </c>
      <c r="D1" s="5" t="s">
        <v>246</v>
      </c>
      <c r="E1" s="5" t="s">
        <v>30</v>
      </c>
      <c r="F1" s="5" t="s">
        <v>28</v>
      </c>
      <c r="G1" s="5" t="s">
        <v>247</v>
      </c>
      <c r="H1" s="5" t="s">
        <v>248</v>
      </c>
      <c r="I1" s="5" t="s">
        <v>249</v>
      </c>
      <c r="J1" s="5" t="s">
        <v>250</v>
      </c>
      <c r="K1" s="5" t="s">
        <v>251</v>
      </c>
      <c r="L1" s="5" t="s">
        <v>252</v>
      </c>
      <c r="M1" s="5" t="s">
        <v>253</v>
      </c>
    </row>
    <row r="2" customFormat="false" ht="15" hidden="false" customHeight="true" outlineLevel="0" collapsed="false">
      <c r="A2" s="9" t="n">
        <v>1</v>
      </c>
      <c r="B2" s="9" t="str">
        <f aca="false">INDEX(Rangs_métier!$A$2:$A$5,MATCH(C2,Rangs_métier!$B$2:$B$5,1))</f>
        <v>Apprenti</v>
      </c>
      <c r="C2" s="7" t="n">
        <v>1</v>
      </c>
      <c r="D2" s="7" t="n">
        <v>45</v>
      </c>
      <c r="E2" s="6" t="s">
        <v>66</v>
      </c>
      <c r="F2" s="7" t="n">
        <v>12224</v>
      </c>
      <c r="G2" s="7" t="s">
        <v>34</v>
      </c>
      <c r="H2" s="14" t="n">
        <f aca="false">INDEX(Hypothèses!$B$4:$B$6,MATCH(G2,Hypothèses!$A$4:$A$6,0))</f>
        <v>1</v>
      </c>
      <c r="I2" s="9" t="n">
        <f aca="false">ROUNDUP((D2-C2)/H2,0)</f>
        <v>44</v>
      </c>
      <c r="J2" s="15" t="str">
        <f aca="false">IF(INDEX(Recettes!$E:$E,MATCH(F2,Recettes!$A:$A,0))="Oui","Maître",IFERROR("Marchand : "&amp;INDEX(Marchands_recettes!$B:$B,MATCH(F2,Marchands_recettes!$I:$I,0)),"Autre (vendeur / quête / butin)"))</f>
        <v>Marchand : Abigail Shiel</v>
      </c>
      <c r="K2" s="15" t="str">
        <f aca="false">"Cuisiner "&amp;I2&amp;"× "&amp;E2&amp;" (compétence "&amp;C2&amp;" → "&amp;D2&amp;")"</f>
        <v>Cuisiner 44× Aile de chauve-souris croustillante (compétence 1 → 45)</v>
      </c>
      <c r="L2" s="9" t="n">
        <f aca="false">COUNTIFS(Plan_matériaux!$A:$A,A2,Plan_matériaux!$J:$J,"À renseigner")</f>
        <v>0</v>
      </c>
      <c r="M2" s="16" t="s">
        <v>254</v>
      </c>
    </row>
    <row r="3" customFormat="false" ht="15" hidden="false" customHeight="true" outlineLevel="0" collapsed="false">
      <c r="A3" s="9" t="n">
        <v>2</v>
      </c>
      <c r="B3" s="9" t="str">
        <f aca="false">INDEX(Rangs_métier!$A$2:$A$5,MATCH(C3,Rangs_métier!$B$2:$B$5,1))</f>
        <v>Apprenti</v>
      </c>
      <c r="C3" s="7" t="n">
        <v>45</v>
      </c>
      <c r="D3" s="7" t="n">
        <v>80</v>
      </c>
      <c r="E3" s="6" t="s">
        <v>84</v>
      </c>
      <c r="F3" s="7" t="n">
        <v>6890</v>
      </c>
      <c r="G3" s="7" t="s">
        <v>34</v>
      </c>
      <c r="H3" s="14" t="n">
        <f aca="false">INDEX(Hypothèses!$B$4:$B$6,MATCH(G3,Hypothèses!$A$4:$A$6,0))</f>
        <v>1</v>
      </c>
      <c r="I3" s="9" t="n">
        <f aca="false">ROUNDUP((D3-C3)/H3,0)</f>
        <v>35</v>
      </c>
      <c r="J3" s="15" t="str">
        <f aca="false">IF(INDEX(Recettes!$E:$E,MATCH(F3,Recettes!$A:$A,0))="Oui","Maître",IFERROR("Marchand : "&amp;INDEX(Marchands_recettes!$B:$B,MATCH(F3,Marchands_recettes!$I:$I,0)),"Autre (vendeur / quête / butin)"))</f>
        <v>Marchand : Andrew Hilbert</v>
      </c>
      <c r="K3" s="15" t="str">
        <f aca="false">"Cuisiner "&amp;I3&amp;"× "&amp;E3&amp;" (compétence "&amp;C3&amp;" → "&amp;D3&amp;")"</f>
        <v>Cuisiner 35× Viande d'ours fumée (compétence 45 → 80)</v>
      </c>
      <c r="L3" s="9" t="n">
        <f aca="false">COUNTIFS(Plan_matériaux!$A:$A,A3,Plan_matériaux!$J:$J,"À renseigner")</f>
        <v>0</v>
      </c>
      <c r="M3" s="16" t="s">
        <v>255</v>
      </c>
    </row>
    <row r="4" customFormat="false" ht="15" hidden="false" customHeight="true" outlineLevel="0" collapsed="false">
      <c r="A4" s="9" t="n">
        <v>3</v>
      </c>
      <c r="B4" s="9" t="str">
        <f aca="false">INDEX(Rangs_métier!$A$2:$A$5,MATCH(C4,Rangs_métier!$B$2:$B$5,1))</f>
        <v>Compagnon</v>
      </c>
      <c r="C4" s="7" t="n">
        <v>80</v>
      </c>
      <c r="D4" s="7" t="n">
        <v>120</v>
      </c>
      <c r="E4" s="6" t="s">
        <v>111</v>
      </c>
      <c r="F4" s="7" t="n">
        <v>2687</v>
      </c>
      <c r="G4" s="7" t="s">
        <v>34</v>
      </c>
      <c r="H4" s="14" t="n">
        <f aca="false">INDEX(Hypothèses!$B$4:$B$6,MATCH(G4,Hypothèses!$A$4:$A$6,0))</f>
        <v>1</v>
      </c>
      <c r="I4" s="9" t="n">
        <f aca="false">ROUNDUP((D4-C4)/H4,0)</f>
        <v>40</v>
      </c>
      <c r="J4" s="15" t="str">
        <f aca="false">IF(INDEX(Recettes!$E:$E,MATCH(F4,Recettes!$A:$A,0))="Oui","Maître",IFERROR("Marchand : "&amp;INDEX(Marchands_recettes!$B:$B,MATCH(F4,Marchands_recettes!$I:$I,0)),"Autre (vendeur / quête / butin)"))</f>
        <v>Maître</v>
      </c>
      <c r="K4" s="15" t="str">
        <f aca="false">"Cuisiner "&amp;I4&amp;"× "&amp;E4&amp;" (compétence "&amp;C4&amp;" → "&amp;D4&amp;")"</f>
        <v>Cuisiner 40× Côtes de porc séchées (compétence 80 → 120)</v>
      </c>
      <c r="L4" s="9" t="n">
        <f aca="false">COUNTIFS(Plan_matériaux!$A:$A,A4,Plan_matériaux!$J:$J,"À renseigner")</f>
        <v>0</v>
      </c>
      <c r="M4" s="16" t="s">
        <v>256</v>
      </c>
    </row>
    <row r="5" customFormat="false" ht="15" hidden="false" customHeight="true" outlineLevel="0" collapsed="false">
      <c r="A5" s="9" t="n">
        <v>4</v>
      </c>
      <c r="B5" s="9" t="str">
        <f aca="false">INDEX(Rangs_métier!$A$2:$A$5,MATCH(C5,Rangs_métier!$B$2:$B$5,1))</f>
        <v>Compagnon</v>
      </c>
      <c r="C5" s="7" t="n">
        <v>120</v>
      </c>
      <c r="D5" s="7" t="n">
        <v>160</v>
      </c>
      <c r="E5" s="6" t="s">
        <v>142</v>
      </c>
      <c r="F5" s="7" t="n">
        <v>3664</v>
      </c>
      <c r="G5" s="7" t="s">
        <v>34</v>
      </c>
      <c r="H5" s="14" t="n">
        <f aca="false">INDEX(Hypothèses!$B$4:$B$6,MATCH(G5,Hypothèses!$A$4:$A$6,0))</f>
        <v>1</v>
      </c>
      <c r="I5" s="9" t="n">
        <f aca="false">ROUNDUP((D5-C5)/H5,0)</f>
        <v>40</v>
      </c>
      <c r="J5" s="15" t="str">
        <f aca="false">IF(INDEX(Recettes!$E:$E,MATCH(F5,Recettes!$A:$A,0))="Oui","Maître",IFERROR("Marchand : "&amp;INDEX(Marchands_recettes!$B:$B,MATCH(F5,Marchands_recettes!$I:$I,0)),"Autre (vendeur / quête / butin)"))</f>
        <v>Autre (vendeur / quête / butin)</v>
      </c>
      <c r="K5" s="15" t="str">
        <f aca="false">"Cuisiner "&amp;I5&amp;"× "&amp;E5&amp;" (compétence "&amp;C5&amp;" → "&amp;D5&amp;")"</f>
        <v>Cuisiner 40× Gombo de crocilisque (compétence 120 → 160)</v>
      </c>
      <c r="L5" s="9" t="n">
        <f aca="false">COUNTIFS(Plan_matériaux!$A:$A,A5,Plan_matériaux!$J:$J,"À renseigner")</f>
        <v>0</v>
      </c>
      <c r="M5" s="16" t="s">
        <v>257</v>
      </c>
    </row>
    <row r="6" customFormat="false" ht="15" hidden="false" customHeight="true" outlineLevel="0" collapsed="false">
      <c r="A6" s="9" t="n">
        <v>5</v>
      </c>
      <c r="B6" s="9" t="str">
        <f aca="false">INDEX(Rangs_métier!$A$2:$A$5,MATCH(C6,Rangs_métier!$B$2:$B$5,1))</f>
        <v>Expert</v>
      </c>
      <c r="C6" s="7" t="n">
        <v>160</v>
      </c>
      <c r="D6" s="7" t="n">
        <v>190</v>
      </c>
      <c r="E6" s="6" t="s">
        <v>160</v>
      </c>
      <c r="F6" s="7" t="n">
        <v>3728</v>
      </c>
      <c r="G6" s="7" t="s">
        <v>34</v>
      </c>
      <c r="H6" s="14" t="n">
        <f aca="false">INDEX(Hypothèses!$B$4:$B$6,MATCH(G6,Hypothèses!$A$4:$A$6,0))</f>
        <v>1</v>
      </c>
      <c r="I6" s="9" t="n">
        <f aca="false">ROUNDUP((D6-C6)/H6,0)</f>
        <v>30</v>
      </c>
      <c r="J6" s="15" t="str">
        <f aca="false">IF(INDEX(Recettes!$E:$E,MATCH(F6,Recettes!$A:$A,0))="Oui","Maître",IFERROR("Marchand : "&amp;INDEX(Marchands_recettes!$B:$B,MATCH(F6,Marchands_recettes!$I:$I,0)),"Autre (vendeur / quête / butin)"))</f>
        <v>Autre (vendeur / quête / butin)</v>
      </c>
      <c r="K6" s="15" t="str">
        <f aca="false">"Cuisiner "&amp;I6&amp;"× "&amp;E6&amp;" (compétence "&amp;C6&amp;" → "&amp;D6&amp;")"</f>
        <v>Cuisiner 30× Délicieux steak de lion (compétence 160 → 190)</v>
      </c>
      <c r="L6" s="9" t="n">
        <f aca="false">COUNTIFS(Plan_matériaux!$A:$A,A6,Plan_matériaux!$J:$J,"À renseigner")</f>
        <v>0</v>
      </c>
      <c r="M6" s="16" t="s">
        <v>258</v>
      </c>
    </row>
    <row r="7" customFormat="false" ht="15" hidden="false" customHeight="true" outlineLevel="0" collapsed="false">
      <c r="A7" s="9" t="n">
        <v>6</v>
      </c>
      <c r="B7" s="9" t="str">
        <f aca="false">INDEX(Rangs_métier!$A$2:$A$5,MATCH(C7,Rangs_métier!$B$2:$B$5,1))</f>
        <v>Expert</v>
      </c>
      <c r="C7" s="7" t="n">
        <v>190</v>
      </c>
      <c r="D7" s="7" t="n">
        <v>200</v>
      </c>
      <c r="E7" s="6" t="s">
        <v>170</v>
      </c>
      <c r="F7" s="7" t="n">
        <v>274976</v>
      </c>
      <c r="G7" s="7" t="s">
        <v>34</v>
      </c>
      <c r="H7" s="14" t="n">
        <f aca="false">INDEX(Hypothèses!$B$4:$B$6,MATCH(G7,Hypothèses!$A$4:$A$6,0))</f>
        <v>1</v>
      </c>
      <c r="I7" s="9" t="n">
        <f aca="false">ROUNDUP((D7-C7)/H7,0)</f>
        <v>10</v>
      </c>
      <c r="J7" s="15" t="str">
        <f aca="false">IF(INDEX(Recettes!$E:$E,MATCH(F7,Recettes!$A:$A,0))="Oui","Maître",IFERROR("Marchand : "&amp;INDEX(Marchands_recettes!$B:$B,MATCH(F7,Marchands_recettes!$I:$I,0)),"Autre (vendeur / quête / butin)"))</f>
        <v>Autre (vendeur / quête / butin)</v>
      </c>
      <c r="K7" s="15" t="str">
        <f aca="false">"Cuisiner "&amp;I7&amp;"× "&amp;E7&amp;" (compétence "&amp;C7&amp;" → "&amp;D7&amp;")"</f>
        <v>Cuisiner 10× Bonne vieille viande de brochepâle (compétence 190 → 200)</v>
      </c>
      <c r="L7" s="9" t="n">
        <f aca="false">COUNTIFS(Plan_matériaux!$A:$A,A7,Plan_matériaux!$J:$J,"À renseigner")</f>
        <v>0</v>
      </c>
      <c r="M7" s="16" t="s">
        <v>259</v>
      </c>
    </row>
    <row r="8" customFormat="false" ht="15" hidden="false" customHeight="true" outlineLevel="0" collapsed="false">
      <c r="A8" s="9" t="n">
        <v>7</v>
      </c>
      <c r="B8" s="9" t="str">
        <f aca="false">INDEX(Rangs_métier!$A$2:$A$5,MATCH(C8,Rangs_métier!$B$2:$B$5,1))</f>
        <v>Expert</v>
      </c>
      <c r="C8" s="7" t="n">
        <v>200</v>
      </c>
      <c r="D8" s="7" t="n">
        <v>240</v>
      </c>
      <c r="E8" s="6" t="s">
        <v>201</v>
      </c>
      <c r="F8" s="7" t="n">
        <v>17222</v>
      </c>
      <c r="G8" s="7" t="s">
        <v>34</v>
      </c>
      <c r="H8" s="14" t="n">
        <f aca="false">INDEX(Hypothèses!$B$4:$B$6,MATCH(G8,Hypothèses!$A$4:$A$6,0))</f>
        <v>1</v>
      </c>
      <c r="I8" s="9" t="n">
        <f aca="false">ROUNDUP((D8-C8)/H8,0)</f>
        <v>40</v>
      </c>
      <c r="J8" s="15" t="str">
        <f aca="false">IF(INDEX(Recettes!$E:$E,MATCH(F8,Recettes!$A:$A,0))="Oui","Maître",IFERROR("Marchand : "&amp;INDEX(Marchands_recettes!$B:$B,MATCH(F8,Marchands_recettes!$I:$I,0)),"Autre (vendeur / quête / butin)"))</f>
        <v>Maître</v>
      </c>
      <c r="K8" s="15" t="str">
        <f aca="false">"Cuisiner "&amp;I8&amp;"× "&amp;E8&amp;" (compétence "&amp;C8&amp;" → "&amp;D8&amp;")"</f>
        <v>Cuisiner 40× Saucisse d'araignée (compétence 200 → 240)</v>
      </c>
      <c r="L8" s="9" t="n">
        <f aca="false">COUNTIFS(Plan_matériaux!$A:$A,A8,Plan_matériaux!$J:$J,"À renseigner")</f>
        <v>0</v>
      </c>
      <c r="M8" s="16" t="s">
        <v>260</v>
      </c>
    </row>
    <row r="9" customFormat="false" ht="15" hidden="false" customHeight="true" outlineLevel="0" collapsed="false">
      <c r="A9" s="9" t="n">
        <v>8</v>
      </c>
      <c r="B9" s="9" t="str">
        <f aca="false">INDEX(Rangs_métier!$A$2:$A$5,MATCH(C9,Rangs_métier!$B$2:$B$5,1))</f>
        <v>Artisan</v>
      </c>
      <c r="C9" s="7" t="n">
        <v>240</v>
      </c>
      <c r="D9" s="7" t="n">
        <v>265</v>
      </c>
      <c r="E9" s="6" t="s">
        <v>220</v>
      </c>
      <c r="F9" s="7" t="n">
        <v>13927</v>
      </c>
      <c r="G9" s="7" t="s">
        <v>34</v>
      </c>
      <c r="H9" s="14" t="n">
        <f aca="false">INDEX(Hypothèses!$B$4:$B$6,MATCH(G9,Hypothèses!$A$4:$A$6,0))</f>
        <v>1</v>
      </c>
      <c r="I9" s="9" t="n">
        <f aca="false">ROUNDUP((D9-C9)/H9,0)</f>
        <v>25</v>
      </c>
      <c r="J9" s="15" t="str">
        <f aca="false">IF(INDEX(Recettes!$E:$E,MATCH(F9,Recettes!$A:$A,0))="Oui","Maître",IFERROR("Marchand : "&amp;INDEX(Marchands_recettes!$B:$B,MATCH(F9,Marchands_recettes!$I:$I,0)),"Autre (vendeur / quête / butin)"))</f>
        <v>Marchand : Kelsey Yance</v>
      </c>
      <c r="K9" s="15" t="str">
        <f aca="false">"Cuisiner "&amp;I9&amp;"× "&amp;E9&amp;" (compétence "&amp;C9&amp;" → "&amp;D9&amp;")"</f>
        <v>Cuisiner 25× Barracuda luisant cuit (compétence 240 → 265)</v>
      </c>
      <c r="L9" s="9" t="n">
        <f aca="false">COUNTIFS(Plan_matériaux!$A:$A,A9,Plan_matériaux!$J:$J,"À renseigner")</f>
        <v>0</v>
      </c>
      <c r="M9" s="16" t="s">
        <v>261</v>
      </c>
    </row>
    <row r="10" customFormat="false" ht="15" hidden="false" customHeight="true" outlineLevel="0" collapsed="false">
      <c r="A10" s="9" t="n">
        <v>9</v>
      </c>
      <c r="B10" s="9" t="str">
        <f aca="false">INDEX(Rangs_métier!$A$2:$A$5,MATCH(C10,Rangs_métier!$B$2:$B$5,1))</f>
        <v>Artisan</v>
      </c>
      <c r="C10" s="7" t="n">
        <v>265</v>
      </c>
      <c r="D10" s="7" t="n">
        <v>285</v>
      </c>
      <c r="E10" s="6" t="s">
        <v>220</v>
      </c>
      <c r="F10" s="7" t="n">
        <v>13927</v>
      </c>
      <c r="G10" s="7" t="s">
        <v>35</v>
      </c>
      <c r="H10" s="14" t="n">
        <f aca="false">INDEX(Hypothèses!$B$4:$B$6,MATCH(G10,Hypothèses!$A$4:$A$6,0))</f>
        <v>0.75</v>
      </c>
      <c r="I10" s="9" t="n">
        <f aca="false">ROUNDUP((D10-C10)/H10,0)</f>
        <v>27</v>
      </c>
      <c r="J10" s="15" t="str">
        <f aca="false">IF(INDEX(Recettes!$E:$E,MATCH(F10,Recettes!$A:$A,0))="Oui","Maître",IFERROR("Marchand : "&amp;INDEX(Marchands_recettes!$B:$B,MATCH(F10,Marchands_recettes!$I:$I,0)),"Autre (vendeur / quête / butin)"))</f>
        <v>Marchand : Kelsey Yance</v>
      </c>
      <c r="K10" s="15" t="str">
        <f aca="false">"Cuisiner "&amp;I10&amp;"× "&amp;E10&amp;" (compétence "&amp;C10&amp;" → "&amp;D10&amp;")"</f>
        <v>Cuisiner 27× Barracuda luisant cuit (compétence 265 → 285)</v>
      </c>
      <c r="L10" s="9" t="n">
        <f aca="false">COUNTIFS(Plan_matériaux!$A:$A,A10,Plan_matériaux!$J:$J,"À renseigner")</f>
        <v>0</v>
      </c>
      <c r="M10" s="16" t="s">
        <v>262</v>
      </c>
    </row>
    <row r="11" customFormat="false" ht="15" hidden="false" customHeight="true" outlineLevel="0" collapsed="false">
      <c r="A11" s="9" t="n">
        <v>10</v>
      </c>
      <c r="B11" s="9" t="str">
        <f aca="false">INDEX(Rangs_métier!$A$2:$A$5,MATCH(C11,Rangs_métier!$B$2:$B$5,1))</f>
        <v>Artisan</v>
      </c>
      <c r="C11" s="7" t="n">
        <v>285</v>
      </c>
      <c r="D11" s="7" t="n">
        <v>300</v>
      </c>
      <c r="E11" s="6" t="s">
        <v>220</v>
      </c>
      <c r="F11" s="7" t="n">
        <v>13927</v>
      </c>
      <c r="G11" s="7" t="s">
        <v>36</v>
      </c>
      <c r="H11" s="14" t="n">
        <f aca="false">INDEX(Hypothèses!$B$4:$B$6,MATCH(G11,Hypothèses!$A$4:$A$6,0))</f>
        <v>0.25</v>
      </c>
      <c r="I11" s="9" t="n">
        <f aca="false">ROUNDUP((D11-C11)/H11,0)</f>
        <v>60</v>
      </c>
      <c r="J11" s="15" t="str">
        <f aca="false">IF(INDEX(Recettes!$E:$E,MATCH(F11,Recettes!$A:$A,0))="Oui","Maître",IFERROR("Marchand : "&amp;INDEX(Marchands_recettes!$B:$B,MATCH(F11,Marchands_recettes!$I:$I,0)),"Autre (vendeur / quête / butin)"))</f>
        <v>Marchand : Kelsey Yance</v>
      </c>
      <c r="K11" s="15" t="str">
        <f aca="false">"Cuisiner "&amp;I11&amp;"× "&amp;E11&amp;" (compétence "&amp;C11&amp;" → "&amp;D11&amp;")"</f>
        <v>Cuisiner 60× Barracuda luisant cuit (compétence 285 → 300)</v>
      </c>
      <c r="L11" s="9" t="n">
        <f aca="false">COUNTIFS(Plan_matériaux!$A:$A,A11,Plan_matériaux!$J:$J,"À renseigner")</f>
        <v>0</v>
      </c>
      <c r="M11" s="16" t="s">
        <v>262</v>
      </c>
    </row>
  </sheetData>
  <autoFilter ref="A1:L11"/>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1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9"/>
    <col collapsed="false" customWidth="true" hidden="false" outlineLevel="0" max="2" min="2" style="1" width="36"/>
    <col collapsed="false" customWidth="true" hidden="false" outlineLevel="0" max="3" min="3" style="1" width="13"/>
    <col collapsed="false" customWidth="true" hidden="false" outlineLevel="0" max="4" min="4" style="1" width="34"/>
    <col collapsed="false" customWidth="true" hidden="false" outlineLevel="0" max="6" min="5" style="1" width="11"/>
    <col collapsed="false" customWidth="true" hidden="false" outlineLevel="0" max="7" min="7" style="1" width="13"/>
    <col collapsed="false" customWidth="true" hidden="false" outlineLevel="0" max="8" min="8" style="1" width="16"/>
    <col collapsed="false" customWidth="true" hidden="false" outlineLevel="0" max="9" min="9" style="1" width="26"/>
    <col collapsed="false" customWidth="true" hidden="false" outlineLevel="0" max="10" min="10" style="1" width="14"/>
  </cols>
  <sheetData>
    <row r="1" customFormat="false" ht="31.5" hidden="false" customHeight="true" outlineLevel="0" collapsed="false">
      <c r="A1" s="5" t="s">
        <v>243</v>
      </c>
      <c r="B1" s="5" t="s">
        <v>30</v>
      </c>
      <c r="C1" s="5" t="s">
        <v>263</v>
      </c>
      <c r="D1" s="5" t="s">
        <v>264</v>
      </c>
      <c r="E1" s="5" t="s">
        <v>265</v>
      </c>
      <c r="F1" s="5" t="s">
        <v>249</v>
      </c>
      <c r="G1" s="5" t="s">
        <v>266</v>
      </c>
      <c r="H1" s="5" t="s">
        <v>267</v>
      </c>
      <c r="I1" s="5" t="s">
        <v>268</v>
      </c>
      <c r="J1" s="5" t="s">
        <v>269</v>
      </c>
    </row>
    <row r="2" customFormat="false" ht="15" hidden="false" customHeight="true" outlineLevel="0" collapsed="false">
      <c r="A2" s="7" t="n">
        <v>1</v>
      </c>
      <c r="B2" s="15" t="str">
        <f aca="false">INDEX(Plan_quêtes!$E$2:$E$11,A2)</f>
        <v>Aile de chauve-souris croustillante</v>
      </c>
      <c r="C2" s="7" t="n">
        <v>12223</v>
      </c>
      <c r="D2" s="6" t="s">
        <v>270</v>
      </c>
      <c r="E2" s="9" t="n">
        <f aca="false">SUMIFS(Composants!$E:$E,Composants!$A:$A,INDEX(Plan_quêtes!$F$2:$F$11,A2),Composants!$C:$C,C2)</f>
        <v>1</v>
      </c>
      <c r="F2" s="9" t="n">
        <f aca="false">INDEX(Plan_quêtes!$I$2:$I$11,A2)</f>
        <v>44</v>
      </c>
      <c r="G2" s="9" t="n">
        <f aca="false">E2*F2</f>
        <v>44</v>
      </c>
      <c r="H2" s="15" t="str">
        <f aca="false">IFERROR(INDEX(Sources!$C:$C,MATCH(C2,Sources!$A:$A,0)),"—")</f>
        <v>Monstre</v>
      </c>
      <c r="I2" s="15" t="str">
        <f aca="false">IFERROR(IF(INDEX(Sources!$E:$E,MATCH(C2,Sources!$A:$A,0))="","",INDEX(Sources!$E:$E,MATCH(C2,Sources!$A:$A,0))),"—")</f>
        <v>Tirisfal Glades</v>
      </c>
      <c r="J2" s="15" t="str">
        <f aca="false">INDEX(Ingrédients!$F$2:$F$98,MATCH(C2,Ingrédients!$A$2:$A$98,0))</f>
        <v>Renseigné</v>
      </c>
    </row>
    <row r="3" customFormat="false" ht="15" hidden="false" customHeight="true" outlineLevel="0" collapsed="false">
      <c r="A3" s="7" t="n">
        <v>1</v>
      </c>
      <c r="B3" s="15" t="str">
        <f aca="false">INDEX(Plan_quêtes!$E$2:$E$11,A3)</f>
        <v>Aile de chauve-souris croustillante</v>
      </c>
      <c r="C3" s="7" t="n">
        <v>2678</v>
      </c>
      <c r="D3" s="6" t="s">
        <v>271</v>
      </c>
      <c r="E3" s="9" t="n">
        <f aca="false">SUMIFS(Composants!$E:$E,Composants!$A:$A,INDEX(Plan_quêtes!$F$2:$F$11,A3),Composants!$C:$C,C3)</f>
        <v>1</v>
      </c>
      <c r="F3" s="9" t="n">
        <f aca="false">INDEX(Plan_quêtes!$I$2:$I$11,A3)</f>
        <v>44</v>
      </c>
      <c r="G3" s="9" t="n">
        <f aca="false">E3*F3</f>
        <v>44</v>
      </c>
      <c r="H3" s="15" t="str">
        <f aca="false">IFERROR(INDEX(Sources!$C:$C,MATCH(C3,Sources!$A:$A,0)),"—")</f>
        <v>Vendeur</v>
      </c>
      <c r="I3" s="15" t="str">
        <f aca="false">IFERROR(IF(INDEX(Sources!$E:$E,MATCH(C3,Sources!$A:$A,0))="","",INDEX(Sources!$E:$E,MATCH(C3,Sources!$A:$A,0))),"—")</f>
        <v>Tirisfal Glades</v>
      </c>
      <c r="J3" s="15" t="str">
        <f aca="false">INDEX(Ingrédients!$F$2:$F$98,MATCH(C3,Ingrédients!$A$2:$A$98,0))</f>
        <v>Renseigné</v>
      </c>
    </row>
    <row r="4" customFormat="false" ht="15" hidden="false" customHeight="true" outlineLevel="0" collapsed="false">
      <c r="A4" s="7" t="n">
        <v>2</v>
      </c>
      <c r="B4" s="15" t="str">
        <f aca="false">INDEX(Plan_quêtes!$E$2:$E$11,A4)</f>
        <v>Viande d'ours fumée</v>
      </c>
      <c r="C4" s="7" t="n">
        <v>3173</v>
      </c>
      <c r="D4" s="6" t="s">
        <v>272</v>
      </c>
      <c r="E4" s="9" t="n">
        <f aca="false">SUMIFS(Composants!$E:$E,Composants!$A:$A,INDEX(Plan_quêtes!$F$2:$F$11,A4),Composants!$C:$C,C4)</f>
        <v>1</v>
      </c>
      <c r="F4" s="9" t="n">
        <f aca="false">INDEX(Plan_quêtes!$I$2:$I$11,A4)</f>
        <v>35</v>
      </c>
      <c r="G4" s="9" t="n">
        <f aca="false">E4*F4</f>
        <v>35</v>
      </c>
      <c r="H4" s="15" t="str">
        <f aca="false">IFERROR(INDEX(Sources!$C:$C,MATCH(C4,Sources!$A:$A,0)),"—")</f>
        <v>Monstre</v>
      </c>
      <c r="I4" s="15" t="str">
        <f aca="false">IFERROR(IF(INDEX(Sources!$E:$E,MATCH(C4,Sources!$A:$A,0))="","",INDEX(Sources!$E:$E,MATCH(C4,Sources!$A:$A,0))),"—")</f>
        <v>Darkshore</v>
      </c>
      <c r="J4" s="15" t="str">
        <f aca="false">INDEX(Ingrédients!$F$2:$F$98,MATCH(C4,Ingrédients!$A$2:$A$98,0))</f>
        <v>Renseigné</v>
      </c>
    </row>
    <row r="5" customFormat="false" ht="15" hidden="false" customHeight="true" outlineLevel="0" collapsed="false">
      <c r="A5" s="7" t="n">
        <v>3</v>
      </c>
      <c r="B5" s="15" t="str">
        <f aca="false">INDEX(Plan_quêtes!$E$2:$E$11,A5)</f>
        <v>Côtes de porc séchées</v>
      </c>
      <c r="C5" s="7" t="n">
        <v>2677</v>
      </c>
      <c r="D5" s="6" t="s">
        <v>273</v>
      </c>
      <c r="E5" s="9" t="n">
        <f aca="false">SUMIFS(Composants!$E:$E,Composants!$A:$A,INDEX(Plan_quêtes!$F$2:$F$11,A5),Composants!$C:$C,C5)</f>
        <v>1</v>
      </c>
      <c r="F5" s="9" t="n">
        <f aca="false">INDEX(Plan_quêtes!$I$2:$I$11,A5)</f>
        <v>40</v>
      </c>
      <c r="G5" s="9" t="n">
        <f aca="false">E5*F5</f>
        <v>40</v>
      </c>
      <c r="H5" s="15" t="str">
        <f aca="false">IFERROR(INDEX(Sources!$C:$C,MATCH(C5,Sources!$A:$A,0)),"—")</f>
        <v>Monstre</v>
      </c>
      <c r="I5" s="15" t="str">
        <f aca="false">IFERROR(IF(INDEX(Sources!$E:$E,MATCH(C5,Sources!$A:$A,0))="","",INDEX(Sources!$E:$E,MATCH(C5,Sources!$A:$A,0))),"—")</f>
        <v>Loch Modan</v>
      </c>
      <c r="J5" s="15" t="str">
        <f aca="false">INDEX(Ingrédients!$F$2:$F$98,MATCH(C5,Ingrédients!$A$2:$A$98,0))</f>
        <v>Renseigné</v>
      </c>
    </row>
    <row r="6" customFormat="false" ht="15" hidden="false" customHeight="true" outlineLevel="0" collapsed="false">
      <c r="A6" s="7" t="n">
        <v>3</v>
      </c>
      <c r="B6" s="15" t="str">
        <f aca="false">INDEX(Plan_quêtes!$E$2:$E$11,A6)</f>
        <v>Côtes de porc séchées</v>
      </c>
      <c r="C6" s="7" t="n">
        <v>2678</v>
      </c>
      <c r="D6" s="6" t="s">
        <v>271</v>
      </c>
      <c r="E6" s="9" t="n">
        <f aca="false">SUMIFS(Composants!$E:$E,Composants!$A:$A,INDEX(Plan_quêtes!$F$2:$F$11,A6),Composants!$C:$C,C6)</f>
        <v>1</v>
      </c>
      <c r="F6" s="9" t="n">
        <f aca="false">INDEX(Plan_quêtes!$I$2:$I$11,A6)</f>
        <v>40</v>
      </c>
      <c r="G6" s="9" t="n">
        <f aca="false">E6*F6</f>
        <v>40</v>
      </c>
      <c r="H6" s="15" t="str">
        <f aca="false">IFERROR(INDEX(Sources!$C:$C,MATCH(C6,Sources!$A:$A,0)),"—")</f>
        <v>Vendeur</v>
      </c>
      <c r="I6" s="15" t="str">
        <f aca="false">IFERROR(IF(INDEX(Sources!$E:$E,MATCH(C6,Sources!$A:$A,0))="","",INDEX(Sources!$E:$E,MATCH(C6,Sources!$A:$A,0))),"—")</f>
        <v>Tirisfal Glades</v>
      </c>
      <c r="J6" s="15" t="str">
        <f aca="false">INDEX(Ingrédients!$F$2:$F$98,MATCH(C6,Ingrédients!$A$2:$A$98,0))</f>
        <v>Renseigné</v>
      </c>
    </row>
    <row r="7" customFormat="false" ht="15" hidden="false" customHeight="true" outlineLevel="0" collapsed="false">
      <c r="A7" s="7" t="n">
        <v>4</v>
      </c>
      <c r="B7" s="15" t="str">
        <f aca="false">INDEX(Plan_quêtes!$E$2:$E$11,A7)</f>
        <v>Gombo de crocilisque</v>
      </c>
      <c r="C7" s="7" t="n">
        <v>3667</v>
      </c>
      <c r="D7" s="6" t="s">
        <v>274</v>
      </c>
      <c r="E7" s="9" t="n">
        <f aca="false">SUMIFS(Composants!$E:$E,Composants!$A:$A,INDEX(Plan_quêtes!$F$2:$F$11,A7),Composants!$C:$C,C7)</f>
        <v>1</v>
      </c>
      <c r="F7" s="9" t="n">
        <f aca="false">INDEX(Plan_quêtes!$I$2:$I$11,A7)</f>
        <v>40</v>
      </c>
      <c r="G7" s="9" t="n">
        <f aca="false">E7*F7</f>
        <v>40</v>
      </c>
      <c r="H7" s="15" t="str">
        <f aca="false">IFERROR(INDEX(Sources!$C:$C,MATCH(C7,Sources!$A:$A,0)),"—")</f>
        <v>Monstre</v>
      </c>
      <c r="I7" s="15" t="str">
        <f aca="false">IFERROR(IF(INDEX(Sources!$E:$E,MATCH(C7,Sources!$A:$A,0))="","",INDEX(Sources!$E:$E,MATCH(C7,Sources!$A:$A,0))),"—")</f>
        <v>Wetlands</v>
      </c>
      <c r="J7" s="15" t="str">
        <f aca="false">INDEX(Ingrédients!$F$2:$F$98,MATCH(C7,Ingrédients!$A$2:$A$98,0))</f>
        <v>Renseigné</v>
      </c>
    </row>
    <row r="8" customFormat="false" ht="15" hidden="false" customHeight="true" outlineLevel="0" collapsed="false">
      <c r="A8" s="7" t="n">
        <v>4</v>
      </c>
      <c r="B8" s="15" t="str">
        <f aca="false">INDEX(Plan_quêtes!$E$2:$E$11,A8)</f>
        <v>Gombo de crocilisque</v>
      </c>
      <c r="C8" s="7" t="n">
        <v>2692</v>
      </c>
      <c r="D8" s="6" t="s">
        <v>275</v>
      </c>
      <c r="E8" s="9" t="n">
        <f aca="false">SUMIFS(Composants!$E:$E,Composants!$A:$A,INDEX(Plan_quêtes!$F$2:$F$11,A8),Composants!$C:$C,C8)</f>
        <v>1</v>
      </c>
      <c r="F8" s="9" t="n">
        <f aca="false">INDEX(Plan_quêtes!$I$2:$I$11,A8)</f>
        <v>40</v>
      </c>
      <c r="G8" s="9" t="n">
        <f aca="false">E8*F8</f>
        <v>40</v>
      </c>
      <c r="H8" s="15" t="str">
        <f aca="false">IFERROR(INDEX(Sources!$C:$C,MATCH(C8,Sources!$A:$A,0)),"—")</f>
        <v>Vendeur</v>
      </c>
      <c r="I8" s="15" t="str">
        <f aca="false">IFERROR(IF(INDEX(Sources!$E:$E,MATCH(C8,Sources!$A:$A,0))="","",INDEX(Sources!$E:$E,MATCH(C8,Sources!$A:$A,0))),"—")</f>
        <v>Undercity</v>
      </c>
      <c r="J8" s="15" t="str">
        <f aca="false">INDEX(Ingrédients!$F$2:$F$98,MATCH(C8,Ingrédients!$A$2:$A$98,0))</f>
        <v>Renseigné</v>
      </c>
    </row>
    <row r="9" customFormat="false" ht="15" hidden="false" customHeight="true" outlineLevel="0" collapsed="false">
      <c r="A9" s="7" t="n">
        <v>5</v>
      </c>
      <c r="B9" s="15" t="str">
        <f aca="false">INDEX(Plan_quêtes!$E$2:$E$11,A9)</f>
        <v>Délicieux steak de lion</v>
      </c>
      <c r="C9" s="7" t="n">
        <v>3731</v>
      </c>
      <c r="D9" s="6" t="s">
        <v>276</v>
      </c>
      <c r="E9" s="9" t="n">
        <f aca="false">SUMIFS(Composants!$E:$E,Composants!$A:$A,INDEX(Plan_quêtes!$F$2:$F$11,A9),Composants!$C:$C,C9)</f>
        <v>2</v>
      </c>
      <c r="F9" s="9" t="n">
        <f aca="false">INDEX(Plan_quêtes!$I$2:$I$11,A9)</f>
        <v>30</v>
      </c>
      <c r="G9" s="9" t="n">
        <f aca="false">E9*F9</f>
        <v>60</v>
      </c>
      <c r="H9" s="15" t="str">
        <f aca="false">IFERROR(INDEX(Sources!$C:$C,MATCH(C9,Sources!$A:$A,0)),"—")</f>
        <v>Monstre</v>
      </c>
      <c r="I9" s="15" t="str">
        <f aca="false">IFERROR(IF(INDEX(Sources!$E:$E,MATCH(C9,Sources!$A:$A,0))="","",INDEX(Sources!$E:$E,MATCH(C9,Sources!$A:$A,0))),"—")</f>
        <v>Hillsbrad Foothills</v>
      </c>
      <c r="J9" s="15" t="str">
        <f aca="false">INDEX(Ingrédients!$F$2:$F$98,MATCH(C9,Ingrédients!$A$2:$A$98,0))</f>
        <v>Renseigné</v>
      </c>
    </row>
    <row r="10" customFormat="false" ht="15" hidden="false" customHeight="true" outlineLevel="0" collapsed="false">
      <c r="A10" s="7" t="n">
        <v>5</v>
      </c>
      <c r="B10" s="15" t="str">
        <f aca="false">INDEX(Plan_quêtes!$E$2:$E$11,A10)</f>
        <v>Délicieux steak de lion</v>
      </c>
      <c r="C10" s="7" t="n">
        <v>3713</v>
      </c>
      <c r="D10" s="6" t="s">
        <v>277</v>
      </c>
      <c r="E10" s="9" t="n">
        <f aca="false">SUMIFS(Composants!$E:$E,Composants!$A:$A,INDEX(Plan_quêtes!$F$2:$F$11,A10),Composants!$C:$C,C10)</f>
        <v>1</v>
      </c>
      <c r="F10" s="9" t="n">
        <f aca="false">INDEX(Plan_quêtes!$I$2:$I$11,A10)</f>
        <v>30</v>
      </c>
      <c r="G10" s="9" t="n">
        <f aca="false">E10*F10</f>
        <v>30</v>
      </c>
      <c r="H10" s="15" t="str">
        <f aca="false">IFERROR(INDEX(Sources!$C:$C,MATCH(C10,Sources!$A:$A,0)),"—")</f>
        <v>Vendeur</v>
      </c>
      <c r="I10" s="15" t="str">
        <f aca="false">IFERROR(IF(INDEX(Sources!$E:$E,MATCH(C10,Sources!$A:$A,0))="","",INDEX(Sources!$E:$E,MATCH(C10,Sources!$A:$A,0))),"—")</f>
        <v>Undercity</v>
      </c>
      <c r="J10" s="15" t="str">
        <f aca="false">INDEX(Ingrédients!$F$2:$F$98,MATCH(C10,Ingrédients!$A$2:$A$98,0))</f>
        <v>Renseigné</v>
      </c>
    </row>
    <row r="11" customFormat="false" ht="15" hidden="false" customHeight="true" outlineLevel="0" collapsed="false">
      <c r="A11" s="7" t="n">
        <v>6</v>
      </c>
      <c r="B11" s="15" t="str">
        <f aca="false">INDEX(Plan_quêtes!$E$2:$E$11,A11)</f>
        <v>Bonne vieille viande de brochepâle</v>
      </c>
      <c r="C11" s="7" t="n">
        <v>769</v>
      </c>
      <c r="D11" s="6" t="s">
        <v>278</v>
      </c>
      <c r="E11" s="9" t="n">
        <f aca="false">SUMIFS(Composants!$E:$E,Composants!$A:$A,INDEX(Plan_quêtes!$F$2:$F$11,A11),Composants!$C:$C,C11)</f>
        <v>2</v>
      </c>
      <c r="F11" s="9" t="n">
        <f aca="false">INDEX(Plan_quêtes!$I$2:$I$11,A11)</f>
        <v>10</v>
      </c>
      <c r="G11" s="9" t="n">
        <f aca="false">E11*F11</f>
        <v>20</v>
      </c>
      <c r="H11" s="15" t="str">
        <f aca="false">IFERROR(INDEX(Sources!$C:$C,MATCH(C11,Sources!$A:$A,0)),"—")</f>
        <v>Monstre</v>
      </c>
      <c r="I11" s="15" t="str">
        <f aca="false">IFERROR(IF(INDEX(Sources!$E:$E,MATCH(C11,Sources!$A:$A,0))="","",INDEX(Sources!$E:$E,MATCH(C11,Sources!$A:$A,0))),"—")</f>
        <v>Elwynn Forest</v>
      </c>
      <c r="J11" s="15" t="str">
        <f aca="false">INDEX(Ingrédients!$F$2:$F$98,MATCH(C11,Ingrédients!$A$2:$A$98,0))</f>
        <v>Renseigné</v>
      </c>
    </row>
    <row r="12" customFormat="false" ht="15" hidden="false" customHeight="true" outlineLevel="0" collapsed="false">
      <c r="A12" s="7" t="n">
        <v>6</v>
      </c>
      <c r="B12" s="15" t="str">
        <f aca="false">INDEX(Plan_quêtes!$E$2:$E$11,A12)</f>
        <v>Bonne vieille viande de brochepâle</v>
      </c>
      <c r="C12" s="7" t="n">
        <v>2678</v>
      </c>
      <c r="D12" s="6" t="s">
        <v>271</v>
      </c>
      <c r="E12" s="9" t="n">
        <f aca="false">SUMIFS(Composants!$E:$E,Composants!$A:$A,INDEX(Plan_quêtes!$F$2:$F$11,A12),Composants!$C:$C,C12)</f>
        <v>1</v>
      </c>
      <c r="F12" s="9" t="n">
        <f aca="false">INDEX(Plan_quêtes!$I$2:$I$11,A12)</f>
        <v>10</v>
      </c>
      <c r="G12" s="9" t="n">
        <f aca="false">E12*F12</f>
        <v>10</v>
      </c>
      <c r="H12" s="15" t="str">
        <f aca="false">IFERROR(INDEX(Sources!$C:$C,MATCH(C12,Sources!$A:$A,0)),"—")</f>
        <v>Vendeur</v>
      </c>
      <c r="I12" s="15" t="str">
        <f aca="false">IFERROR(IF(INDEX(Sources!$E:$E,MATCH(C12,Sources!$A:$A,0))="","",INDEX(Sources!$E:$E,MATCH(C12,Sources!$A:$A,0))),"—")</f>
        <v>Tirisfal Glades</v>
      </c>
      <c r="J12" s="15" t="str">
        <f aca="false">INDEX(Ingrédients!$F$2:$F$98,MATCH(C12,Ingrédients!$A$2:$A$98,0))</f>
        <v>Renseigné</v>
      </c>
    </row>
    <row r="13" customFormat="false" ht="15" hidden="false" customHeight="true" outlineLevel="0" collapsed="false">
      <c r="A13" s="7" t="n">
        <v>7</v>
      </c>
      <c r="B13" s="15" t="str">
        <f aca="false">INDEX(Plan_quêtes!$E$2:$E$11,A13)</f>
        <v>Saucisse d'araignée</v>
      </c>
      <c r="C13" s="7" t="n">
        <v>12205</v>
      </c>
      <c r="D13" s="6" t="s">
        <v>279</v>
      </c>
      <c r="E13" s="9" t="n">
        <f aca="false">SUMIFS(Composants!$E:$E,Composants!$A:$A,INDEX(Plan_quêtes!$F$2:$F$11,A13),Composants!$C:$C,C13)</f>
        <v>2</v>
      </c>
      <c r="F13" s="9" t="n">
        <f aca="false">INDEX(Plan_quêtes!$I$2:$I$11,A13)</f>
        <v>40</v>
      </c>
      <c r="G13" s="9" t="n">
        <f aca="false">E13*F13</f>
        <v>80</v>
      </c>
      <c r="H13" s="15" t="str">
        <f aca="false">IFERROR(INDEX(Sources!$C:$C,MATCH(C13,Sources!$A:$A,0)),"—")</f>
        <v>Monstre</v>
      </c>
      <c r="I13" s="15" t="str">
        <f aca="false">IFERROR(IF(INDEX(Sources!$E:$E,MATCH(C13,Sources!$A:$A,0))="","",INDEX(Sources!$E:$E,MATCH(C13,Sources!$A:$A,0))),"—")</f>
        <v>Dustwallow Marsh</v>
      </c>
      <c r="J13" s="15" t="str">
        <f aca="false">INDEX(Ingrédients!$F$2:$F$98,MATCH(C13,Ingrédients!$A$2:$A$98,0))</f>
        <v>Renseigné</v>
      </c>
    </row>
    <row r="14" customFormat="false" ht="15" hidden="false" customHeight="true" outlineLevel="0" collapsed="false">
      <c r="A14" s="7" t="n">
        <v>8</v>
      </c>
      <c r="B14" s="15" t="str">
        <f aca="false">INDEX(Plan_quêtes!$E$2:$E$11,A14)</f>
        <v>Barracuda luisant cuit</v>
      </c>
      <c r="C14" s="7" t="n">
        <v>13754</v>
      </c>
      <c r="D14" s="6" t="s">
        <v>280</v>
      </c>
      <c r="E14" s="9" t="n">
        <f aca="false">SUMIFS(Composants!$E:$E,Composants!$A:$A,INDEX(Plan_quêtes!$F$2:$F$11,A14),Composants!$C:$C,C14)</f>
        <v>1</v>
      </c>
      <c r="F14" s="9" t="n">
        <f aca="false">INDEX(Plan_quêtes!$I$2:$I$11,A14)</f>
        <v>25</v>
      </c>
      <c r="G14" s="9" t="n">
        <f aca="false">E14*F14</f>
        <v>25</v>
      </c>
      <c r="H14" s="15" t="str">
        <f aca="false">IFERROR(INDEX(Sources!$C:$C,MATCH(C14,Sources!$A:$A,0)),"—")</f>
        <v>Pêche</v>
      </c>
      <c r="I14" s="15" t="str">
        <f aca="false">IFERROR(IF(INDEX(Sources!$E:$E,MATCH(C14,Sources!$A:$A,0))="","",INDEX(Sources!$E:$E,MATCH(C14,Sources!$A:$A,0))),"—")</f>
        <v>Azshara</v>
      </c>
      <c r="J14" s="15" t="str">
        <f aca="false">INDEX(Ingrédients!$F$2:$F$98,MATCH(C14,Ingrédients!$A$2:$A$98,0))</f>
        <v>Renseigné</v>
      </c>
    </row>
    <row r="15" customFormat="false" ht="15" hidden="false" customHeight="true" outlineLevel="0" collapsed="false">
      <c r="A15" s="7" t="n">
        <v>8</v>
      </c>
      <c r="B15" s="15" t="str">
        <f aca="false">INDEX(Plan_quêtes!$E$2:$E$11,A15)</f>
        <v>Barracuda luisant cuit</v>
      </c>
      <c r="C15" s="7" t="n">
        <v>3713</v>
      </c>
      <c r="D15" s="6" t="s">
        <v>277</v>
      </c>
      <c r="E15" s="9" t="n">
        <f aca="false">SUMIFS(Composants!$E:$E,Composants!$A:$A,INDEX(Plan_quêtes!$F$2:$F$11,A15),Composants!$C:$C,C15)</f>
        <v>1</v>
      </c>
      <c r="F15" s="9" t="n">
        <f aca="false">INDEX(Plan_quêtes!$I$2:$I$11,A15)</f>
        <v>25</v>
      </c>
      <c r="G15" s="9" t="n">
        <f aca="false">E15*F15</f>
        <v>25</v>
      </c>
      <c r="H15" s="15" t="str">
        <f aca="false">IFERROR(INDEX(Sources!$C:$C,MATCH(C15,Sources!$A:$A,0)),"—")</f>
        <v>Vendeur</v>
      </c>
      <c r="I15" s="15" t="str">
        <f aca="false">IFERROR(IF(INDEX(Sources!$E:$E,MATCH(C15,Sources!$A:$A,0))="","",INDEX(Sources!$E:$E,MATCH(C15,Sources!$A:$A,0))),"—")</f>
        <v>Undercity</v>
      </c>
      <c r="J15" s="15" t="str">
        <f aca="false">INDEX(Ingrédients!$F$2:$F$98,MATCH(C15,Ingrédients!$A$2:$A$98,0))</f>
        <v>Renseigné</v>
      </c>
    </row>
    <row r="16" customFormat="false" ht="15" hidden="false" customHeight="true" outlineLevel="0" collapsed="false">
      <c r="A16" s="7" t="n">
        <v>9</v>
      </c>
      <c r="B16" s="15" t="str">
        <f aca="false">INDEX(Plan_quêtes!$E$2:$E$11,A16)</f>
        <v>Barracuda luisant cuit</v>
      </c>
      <c r="C16" s="7" t="n">
        <v>13754</v>
      </c>
      <c r="D16" s="6" t="s">
        <v>280</v>
      </c>
      <c r="E16" s="9" t="n">
        <f aca="false">SUMIFS(Composants!$E:$E,Composants!$A:$A,INDEX(Plan_quêtes!$F$2:$F$11,A16),Composants!$C:$C,C16)</f>
        <v>1</v>
      </c>
      <c r="F16" s="9" t="n">
        <f aca="false">INDEX(Plan_quêtes!$I$2:$I$11,A16)</f>
        <v>27</v>
      </c>
      <c r="G16" s="9" t="n">
        <f aca="false">E16*F16</f>
        <v>27</v>
      </c>
      <c r="H16" s="15" t="str">
        <f aca="false">IFERROR(INDEX(Sources!$C:$C,MATCH(C16,Sources!$A:$A,0)),"—")</f>
        <v>Pêche</v>
      </c>
      <c r="I16" s="15" t="str">
        <f aca="false">IFERROR(IF(INDEX(Sources!$E:$E,MATCH(C16,Sources!$A:$A,0))="","",INDEX(Sources!$E:$E,MATCH(C16,Sources!$A:$A,0))),"—")</f>
        <v>Azshara</v>
      </c>
      <c r="J16" s="15" t="str">
        <f aca="false">INDEX(Ingrédients!$F$2:$F$98,MATCH(C16,Ingrédients!$A$2:$A$98,0))</f>
        <v>Renseigné</v>
      </c>
    </row>
    <row r="17" customFormat="false" ht="15" hidden="false" customHeight="true" outlineLevel="0" collapsed="false">
      <c r="A17" s="7" t="n">
        <v>9</v>
      </c>
      <c r="B17" s="15" t="str">
        <f aca="false">INDEX(Plan_quêtes!$E$2:$E$11,A17)</f>
        <v>Barracuda luisant cuit</v>
      </c>
      <c r="C17" s="7" t="n">
        <v>3713</v>
      </c>
      <c r="D17" s="6" t="s">
        <v>277</v>
      </c>
      <c r="E17" s="9" t="n">
        <f aca="false">SUMIFS(Composants!$E:$E,Composants!$A:$A,INDEX(Plan_quêtes!$F$2:$F$11,A17),Composants!$C:$C,C17)</f>
        <v>1</v>
      </c>
      <c r="F17" s="9" t="n">
        <f aca="false">INDEX(Plan_quêtes!$I$2:$I$11,A17)</f>
        <v>27</v>
      </c>
      <c r="G17" s="9" t="n">
        <f aca="false">E17*F17</f>
        <v>27</v>
      </c>
      <c r="H17" s="15" t="str">
        <f aca="false">IFERROR(INDEX(Sources!$C:$C,MATCH(C17,Sources!$A:$A,0)),"—")</f>
        <v>Vendeur</v>
      </c>
      <c r="I17" s="15" t="str">
        <f aca="false">IFERROR(IF(INDEX(Sources!$E:$E,MATCH(C17,Sources!$A:$A,0))="","",INDEX(Sources!$E:$E,MATCH(C17,Sources!$A:$A,0))),"—")</f>
        <v>Undercity</v>
      </c>
      <c r="J17" s="15" t="str">
        <f aca="false">INDEX(Ingrédients!$F$2:$F$98,MATCH(C17,Ingrédients!$A$2:$A$98,0))</f>
        <v>Renseigné</v>
      </c>
    </row>
    <row r="18" customFormat="false" ht="15" hidden="false" customHeight="true" outlineLevel="0" collapsed="false">
      <c r="A18" s="7" t="n">
        <v>10</v>
      </c>
      <c r="B18" s="15" t="str">
        <f aca="false">INDEX(Plan_quêtes!$E$2:$E$11,A18)</f>
        <v>Barracuda luisant cuit</v>
      </c>
      <c r="C18" s="7" t="n">
        <v>13754</v>
      </c>
      <c r="D18" s="6" t="s">
        <v>280</v>
      </c>
      <c r="E18" s="9" t="n">
        <f aca="false">SUMIFS(Composants!$E:$E,Composants!$A:$A,INDEX(Plan_quêtes!$F$2:$F$11,A18),Composants!$C:$C,C18)</f>
        <v>1</v>
      </c>
      <c r="F18" s="9" t="n">
        <f aca="false">INDEX(Plan_quêtes!$I$2:$I$11,A18)</f>
        <v>60</v>
      </c>
      <c r="G18" s="9" t="n">
        <f aca="false">E18*F18</f>
        <v>60</v>
      </c>
      <c r="H18" s="15" t="str">
        <f aca="false">IFERROR(INDEX(Sources!$C:$C,MATCH(C18,Sources!$A:$A,0)),"—")</f>
        <v>Pêche</v>
      </c>
      <c r="I18" s="15" t="str">
        <f aca="false">IFERROR(IF(INDEX(Sources!$E:$E,MATCH(C18,Sources!$A:$A,0))="","",INDEX(Sources!$E:$E,MATCH(C18,Sources!$A:$A,0))),"—")</f>
        <v>Azshara</v>
      </c>
      <c r="J18" s="15" t="str">
        <f aca="false">INDEX(Ingrédients!$F$2:$F$98,MATCH(C18,Ingrédients!$A$2:$A$98,0))</f>
        <v>Renseigné</v>
      </c>
    </row>
    <row r="19" customFormat="false" ht="15" hidden="false" customHeight="true" outlineLevel="0" collapsed="false">
      <c r="A19" s="7" t="n">
        <v>10</v>
      </c>
      <c r="B19" s="15" t="str">
        <f aca="false">INDEX(Plan_quêtes!$E$2:$E$11,A19)</f>
        <v>Barracuda luisant cuit</v>
      </c>
      <c r="C19" s="7" t="n">
        <v>3713</v>
      </c>
      <c r="D19" s="6" t="s">
        <v>277</v>
      </c>
      <c r="E19" s="9" t="n">
        <f aca="false">SUMIFS(Composants!$E:$E,Composants!$A:$A,INDEX(Plan_quêtes!$F$2:$F$11,A19),Composants!$C:$C,C19)</f>
        <v>1</v>
      </c>
      <c r="F19" s="9" t="n">
        <f aca="false">INDEX(Plan_quêtes!$I$2:$I$11,A19)</f>
        <v>60</v>
      </c>
      <c r="G19" s="9" t="n">
        <f aca="false">E19*F19</f>
        <v>60</v>
      </c>
      <c r="H19" s="15" t="str">
        <f aca="false">IFERROR(INDEX(Sources!$C:$C,MATCH(C19,Sources!$A:$A,0)),"—")</f>
        <v>Vendeur</v>
      </c>
      <c r="I19" s="15" t="str">
        <f aca="false">IFERROR(IF(INDEX(Sources!$E:$E,MATCH(C19,Sources!$A:$A,0))="","",INDEX(Sources!$E:$E,MATCH(C19,Sources!$A:$A,0))),"—")</f>
        <v>Undercity</v>
      </c>
      <c r="J19" s="15" t="str">
        <f aca="false">INDEX(Ingrédients!$F$2:$F$98,MATCH(C19,Ingrédients!$A$2:$A$98,0))</f>
        <v>Renseigné</v>
      </c>
    </row>
  </sheetData>
  <autoFilter ref="A1:J19"/>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1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60"/>
    <col collapsed="false" customWidth="true" hidden="false" outlineLevel="0" max="2" min="2" style="1" width="40"/>
  </cols>
  <sheetData>
    <row r="1" customFormat="false" ht="15.75" hidden="false" customHeight="true" outlineLevel="0" collapsed="false">
      <c r="A1" s="17" t="s">
        <v>281</v>
      </c>
    </row>
    <row r="3" customFormat="false" ht="31.5" hidden="false" customHeight="true" outlineLevel="0" collapsed="false">
      <c r="A3" s="5" t="s">
        <v>282</v>
      </c>
      <c r="B3" s="5" t="s">
        <v>283</v>
      </c>
    </row>
    <row r="4" customFormat="false" ht="15" hidden="false" customHeight="true" outlineLevel="0" collapsed="false">
      <c r="A4" s="18" t="s">
        <v>34</v>
      </c>
      <c r="B4" s="19" t="n">
        <v>1</v>
      </c>
    </row>
    <row r="5" customFormat="false" ht="15" hidden="false" customHeight="true" outlineLevel="0" collapsed="false">
      <c r="A5" s="18" t="s">
        <v>35</v>
      </c>
      <c r="B5" s="19" t="n">
        <v>0.75</v>
      </c>
    </row>
    <row r="6" customFormat="false" ht="15" hidden="false" customHeight="true" outlineLevel="0" collapsed="false">
      <c r="A6" s="18" t="s">
        <v>36</v>
      </c>
      <c r="B6" s="19" t="n">
        <v>0.25</v>
      </c>
    </row>
    <row r="9" customFormat="false" ht="48" hidden="false" customHeight="true" outlineLevel="0" collapsed="false">
      <c r="A9" s="20" t="s">
        <v>284</v>
      </c>
      <c r="B9" s="20"/>
    </row>
    <row r="10" customFormat="false" ht="48" hidden="false" customHeight="true" outlineLevel="0" collapsed="false">
      <c r="A10" s="20" t="s">
        <v>285</v>
      </c>
      <c r="B10" s="20"/>
    </row>
    <row r="11" customFormat="false" ht="48" hidden="false" customHeight="true" outlineLevel="0" collapsed="false">
      <c r="A11" s="20" t="s">
        <v>286</v>
      </c>
      <c r="B11" s="20"/>
    </row>
    <row r="12" customFormat="false" ht="48" hidden="false" customHeight="true" outlineLevel="0" collapsed="false">
      <c r="A12" s="20" t="s">
        <v>287</v>
      </c>
      <c r="B12" s="20"/>
    </row>
    <row r="13" customFormat="false" ht="48" hidden="false" customHeight="true" outlineLevel="0" collapsed="false">
      <c r="A13" s="20" t="s">
        <v>288</v>
      </c>
      <c r="B13" s="20"/>
    </row>
    <row r="14" customFormat="false" ht="48" hidden="false" customHeight="true" outlineLevel="0" collapsed="false">
      <c r="A14" s="20" t="s">
        <v>289</v>
      </c>
      <c r="B14" s="20"/>
    </row>
    <row r="15" customFormat="false" ht="48" hidden="false" customHeight="true" outlineLevel="0" collapsed="false">
      <c r="A15" s="20" t="s">
        <v>290</v>
      </c>
      <c r="B15" s="20"/>
    </row>
  </sheetData>
  <mergeCells count="7">
    <mergeCell ref="A9:B9"/>
    <mergeCell ref="A10:B10"/>
    <mergeCell ref="A11:B11"/>
    <mergeCell ref="A12:B12"/>
    <mergeCell ref="A13:B13"/>
    <mergeCell ref="A14:B14"/>
    <mergeCell ref="A15:B15"/>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24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12"/>
    <col collapsed="false" customWidth="true" hidden="false" outlineLevel="0" max="2" min="2" style="1" width="38"/>
    <col collapsed="false" customWidth="true" hidden="false" outlineLevel="0" max="3" min="3" style="1" width="14"/>
    <col collapsed="false" customWidth="true" hidden="false" outlineLevel="0" max="4" min="4" style="1" width="38"/>
    <col collapsed="false" customWidth="true" hidden="false" outlineLevel="0" max="5" min="5" style="1" width="10"/>
  </cols>
  <sheetData>
    <row r="1" customFormat="false" ht="31.5" hidden="false" customHeight="true" outlineLevel="0" collapsed="false">
      <c r="A1" s="5" t="s">
        <v>28</v>
      </c>
      <c r="B1" s="5" t="s">
        <v>30</v>
      </c>
      <c r="C1" s="5" t="s">
        <v>263</v>
      </c>
      <c r="D1" s="5" t="s">
        <v>264</v>
      </c>
      <c r="E1" s="5" t="s">
        <v>291</v>
      </c>
    </row>
    <row r="2" customFormat="false" ht="15" hidden="false" customHeight="true" outlineLevel="0" collapsed="false">
      <c r="A2" s="6" t="n">
        <v>279981</v>
      </c>
      <c r="B2" s="6" t="s">
        <v>43</v>
      </c>
      <c r="C2" s="6" t="n">
        <v>4470</v>
      </c>
      <c r="D2" s="6" t="s">
        <v>292</v>
      </c>
      <c r="E2" s="6" t="n">
        <v>1</v>
      </c>
    </row>
    <row r="3" customFormat="false" ht="15" hidden="false" customHeight="true" outlineLevel="0" collapsed="false">
      <c r="A3" s="6" t="n">
        <v>249871</v>
      </c>
      <c r="B3" s="6" t="s">
        <v>48</v>
      </c>
      <c r="C3" s="6" t="n">
        <v>159</v>
      </c>
      <c r="D3" s="6" t="s">
        <v>293</v>
      </c>
      <c r="E3" s="6" t="n">
        <v>1</v>
      </c>
    </row>
    <row r="4" customFormat="false" ht="15" hidden="false" customHeight="true" outlineLevel="0" collapsed="false">
      <c r="A4" s="6" t="n">
        <v>249871</v>
      </c>
      <c r="B4" s="6" t="s">
        <v>48</v>
      </c>
      <c r="C4" s="6" t="n">
        <v>2678</v>
      </c>
      <c r="D4" s="6" t="s">
        <v>271</v>
      </c>
      <c r="E4" s="6" t="n">
        <v>1</v>
      </c>
    </row>
    <row r="5" customFormat="false" ht="15" hidden="false" customHeight="true" outlineLevel="0" collapsed="false">
      <c r="A5" s="6" t="n">
        <v>249871</v>
      </c>
      <c r="B5" s="6" t="s">
        <v>48</v>
      </c>
      <c r="C5" s="6" t="n">
        <v>1475</v>
      </c>
      <c r="D5" s="6" t="s">
        <v>294</v>
      </c>
      <c r="E5" s="6" t="n">
        <v>1</v>
      </c>
    </row>
    <row r="6" customFormat="false" ht="15" hidden="false" customHeight="true" outlineLevel="0" collapsed="false">
      <c r="A6" s="6" t="n">
        <v>263509</v>
      </c>
      <c r="B6" s="6" t="s">
        <v>52</v>
      </c>
      <c r="C6" s="6" t="n">
        <v>6889</v>
      </c>
      <c r="D6" s="6" t="s">
        <v>295</v>
      </c>
      <c r="E6" s="6" t="n">
        <v>2</v>
      </c>
    </row>
    <row r="7" customFormat="false" ht="15" hidden="false" customHeight="true" outlineLevel="0" collapsed="false">
      <c r="A7" s="6" t="n">
        <v>263509</v>
      </c>
      <c r="B7" s="6" t="s">
        <v>52</v>
      </c>
      <c r="C7" s="6" t="n">
        <v>10284</v>
      </c>
      <c r="D7" s="6" t="s">
        <v>296</v>
      </c>
      <c r="E7" s="6" t="n">
        <v>1</v>
      </c>
    </row>
    <row r="8" customFormat="false" ht="15" hidden="false" customHeight="true" outlineLevel="0" collapsed="false">
      <c r="A8" s="6" t="n">
        <v>818</v>
      </c>
      <c r="B8" s="6" t="s">
        <v>54</v>
      </c>
      <c r="C8" s="6" t="n">
        <v>4470</v>
      </c>
      <c r="D8" s="6" t="s">
        <v>292</v>
      </c>
      <c r="E8" s="6" t="n">
        <v>1</v>
      </c>
    </row>
    <row r="9" customFormat="false" ht="15" hidden="false" customHeight="true" outlineLevel="0" collapsed="false">
      <c r="A9" s="6" t="n">
        <v>249865</v>
      </c>
      <c r="B9" s="6" t="s">
        <v>56</v>
      </c>
      <c r="C9" s="6" t="n">
        <v>159</v>
      </c>
      <c r="D9" s="6" t="s">
        <v>293</v>
      </c>
      <c r="E9" s="6" t="n">
        <v>1</v>
      </c>
    </row>
    <row r="10" customFormat="false" ht="15" hidden="false" customHeight="true" outlineLevel="0" collapsed="false">
      <c r="A10" s="6" t="n">
        <v>249865</v>
      </c>
      <c r="B10" s="6" t="s">
        <v>56</v>
      </c>
      <c r="C10" s="6" t="n">
        <v>2447</v>
      </c>
      <c r="D10" s="6" t="s">
        <v>297</v>
      </c>
      <c r="E10" s="6" t="n">
        <v>2</v>
      </c>
    </row>
    <row r="11" customFormat="false" ht="15" hidden="false" customHeight="true" outlineLevel="0" collapsed="false">
      <c r="A11" s="6" t="n">
        <v>263512</v>
      </c>
      <c r="B11" s="6" t="s">
        <v>58</v>
      </c>
      <c r="C11" s="6" t="n">
        <v>2675</v>
      </c>
      <c r="D11" s="6" t="s">
        <v>298</v>
      </c>
      <c r="E11" s="6" t="n">
        <v>1</v>
      </c>
    </row>
    <row r="12" customFormat="false" ht="15" hidden="false" customHeight="true" outlineLevel="0" collapsed="false">
      <c r="A12" s="6" t="n">
        <v>263512</v>
      </c>
      <c r="B12" s="6" t="s">
        <v>58</v>
      </c>
      <c r="C12" s="6" t="n">
        <v>10284</v>
      </c>
      <c r="D12" s="6" t="s">
        <v>296</v>
      </c>
      <c r="E12" s="6" t="n">
        <v>1</v>
      </c>
    </row>
    <row r="13" customFormat="false" ht="15" hidden="false" customHeight="true" outlineLevel="0" collapsed="false">
      <c r="A13" s="6" t="n">
        <v>250079</v>
      </c>
      <c r="B13" s="6" t="s">
        <v>60</v>
      </c>
      <c r="C13" s="6" t="n">
        <v>3685</v>
      </c>
      <c r="D13" s="6" t="s">
        <v>299</v>
      </c>
      <c r="E13" s="6" t="n">
        <v>1</v>
      </c>
    </row>
    <row r="14" customFormat="false" ht="15" hidden="false" customHeight="true" outlineLevel="0" collapsed="false">
      <c r="A14" s="6" t="n">
        <v>250079</v>
      </c>
      <c r="B14" s="6" t="s">
        <v>60</v>
      </c>
      <c r="C14" s="6" t="n">
        <v>2678</v>
      </c>
      <c r="D14" s="6" t="s">
        <v>271</v>
      </c>
      <c r="E14" s="6" t="n">
        <v>4</v>
      </c>
    </row>
    <row r="15" customFormat="false" ht="15" hidden="false" customHeight="true" outlineLevel="0" collapsed="false">
      <c r="A15" s="6" t="n">
        <v>6888</v>
      </c>
      <c r="B15" s="6" t="s">
        <v>62</v>
      </c>
      <c r="C15" s="6" t="n">
        <v>6889</v>
      </c>
      <c r="D15" s="6" t="s">
        <v>295</v>
      </c>
      <c r="E15" s="6" t="n">
        <v>1</v>
      </c>
    </row>
    <row r="16" customFormat="false" ht="15" hidden="false" customHeight="true" outlineLevel="0" collapsed="false">
      <c r="A16" s="6" t="n">
        <v>6888</v>
      </c>
      <c r="B16" s="6" t="s">
        <v>62</v>
      </c>
      <c r="C16" s="6" t="n">
        <v>2678</v>
      </c>
      <c r="D16" s="6" t="s">
        <v>271</v>
      </c>
      <c r="E16" s="6" t="n">
        <v>1</v>
      </c>
    </row>
    <row r="17" customFormat="false" ht="15" hidden="false" customHeight="true" outlineLevel="0" collapsed="false">
      <c r="A17" s="6" t="n">
        <v>2679</v>
      </c>
      <c r="B17" s="6" t="s">
        <v>64</v>
      </c>
      <c r="C17" s="6" t="n">
        <v>2672</v>
      </c>
      <c r="D17" s="6" t="s">
        <v>300</v>
      </c>
      <c r="E17" s="6" t="n">
        <v>1</v>
      </c>
    </row>
    <row r="18" customFormat="false" ht="15" hidden="false" customHeight="true" outlineLevel="0" collapsed="false">
      <c r="A18" s="6" t="n">
        <v>2681</v>
      </c>
      <c r="B18" s="6" t="s">
        <v>65</v>
      </c>
      <c r="C18" s="6" t="n">
        <v>769</v>
      </c>
      <c r="D18" s="6" t="s">
        <v>278</v>
      </c>
      <c r="E18" s="6" t="n">
        <v>1</v>
      </c>
    </row>
    <row r="19" customFormat="false" ht="15" hidden="false" customHeight="true" outlineLevel="0" collapsed="false">
      <c r="A19" s="6" t="n">
        <v>12224</v>
      </c>
      <c r="B19" s="6" t="s">
        <v>66</v>
      </c>
      <c r="C19" s="6" t="n">
        <v>12223</v>
      </c>
      <c r="D19" s="6" t="s">
        <v>270</v>
      </c>
      <c r="E19" s="6" t="n">
        <v>1</v>
      </c>
    </row>
    <row r="20" customFormat="false" ht="15" hidden="false" customHeight="true" outlineLevel="0" collapsed="false">
      <c r="A20" s="6" t="n">
        <v>12224</v>
      </c>
      <c r="B20" s="6" t="s">
        <v>66</v>
      </c>
      <c r="C20" s="6" t="n">
        <v>2678</v>
      </c>
      <c r="D20" s="6" t="s">
        <v>271</v>
      </c>
      <c r="E20" s="6" t="n">
        <v>1</v>
      </c>
    </row>
    <row r="21" customFormat="false" ht="15" hidden="false" customHeight="true" outlineLevel="0" collapsed="false">
      <c r="A21" s="6" t="n">
        <v>17197</v>
      </c>
      <c r="B21" s="6" t="s">
        <v>68</v>
      </c>
      <c r="C21" s="6" t="n">
        <v>6889</v>
      </c>
      <c r="D21" s="6" t="s">
        <v>295</v>
      </c>
      <c r="E21" s="6" t="n">
        <v>1</v>
      </c>
    </row>
    <row r="22" customFormat="false" ht="15" hidden="false" customHeight="true" outlineLevel="0" collapsed="false">
      <c r="A22" s="6" t="n">
        <v>17197</v>
      </c>
      <c r="B22" s="6" t="s">
        <v>68</v>
      </c>
      <c r="C22" s="6" t="n">
        <v>17194</v>
      </c>
      <c r="D22" s="6" t="s">
        <v>301</v>
      </c>
      <c r="E22" s="6" t="n">
        <v>1</v>
      </c>
    </row>
    <row r="23" customFormat="false" ht="15" hidden="false" customHeight="true" outlineLevel="0" collapsed="false">
      <c r="A23" s="6" t="n">
        <v>6290</v>
      </c>
      <c r="B23" s="6" t="s">
        <v>69</v>
      </c>
      <c r="C23" s="6" t="n">
        <v>6291</v>
      </c>
      <c r="D23" s="6" t="s">
        <v>302</v>
      </c>
      <c r="E23" s="6" t="n">
        <v>1</v>
      </c>
    </row>
    <row r="24" customFormat="false" ht="15" hidden="false" customHeight="true" outlineLevel="0" collapsed="false">
      <c r="A24" s="6" t="n">
        <v>787</v>
      </c>
      <c r="B24" s="6" t="s">
        <v>70</v>
      </c>
      <c r="C24" s="6" t="n">
        <v>6303</v>
      </c>
      <c r="D24" s="6" t="s">
        <v>303</v>
      </c>
      <c r="E24" s="6" t="n">
        <v>1</v>
      </c>
    </row>
    <row r="25" customFormat="false" ht="15" hidden="false" customHeight="true" outlineLevel="0" collapsed="false">
      <c r="A25" s="6" t="n">
        <v>2680</v>
      </c>
      <c r="B25" s="6" t="s">
        <v>71</v>
      </c>
      <c r="C25" s="6" t="n">
        <v>2672</v>
      </c>
      <c r="D25" s="6" t="s">
        <v>300</v>
      </c>
      <c r="E25" s="6" t="n">
        <v>1</v>
      </c>
    </row>
    <row r="26" customFormat="false" ht="15" hidden="false" customHeight="true" outlineLevel="0" collapsed="false">
      <c r="A26" s="6" t="n">
        <v>2680</v>
      </c>
      <c r="B26" s="6" t="s">
        <v>71</v>
      </c>
      <c r="C26" s="6" t="n">
        <v>2678</v>
      </c>
      <c r="D26" s="6" t="s">
        <v>271</v>
      </c>
      <c r="E26" s="6" t="n">
        <v>1</v>
      </c>
    </row>
    <row r="27" customFormat="false" ht="15" hidden="false" customHeight="true" outlineLevel="0" collapsed="false">
      <c r="A27" s="6" t="n">
        <v>5472</v>
      </c>
      <c r="B27" s="6" t="s">
        <v>73</v>
      </c>
      <c r="C27" s="6" t="n">
        <v>5465</v>
      </c>
      <c r="D27" s="6" t="s">
        <v>304</v>
      </c>
      <c r="E27" s="6" t="n">
        <v>1</v>
      </c>
    </row>
    <row r="28" customFormat="false" ht="15" hidden="false" customHeight="true" outlineLevel="0" collapsed="false">
      <c r="A28" s="6" t="n">
        <v>5473</v>
      </c>
      <c r="B28" s="6" t="s">
        <v>75</v>
      </c>
      <c r="C28" s="6" t="n">
        <v>5466</v>
      </c>
      <c r="D28" s="6" t="s">
        <v>305</v>
      </c>
      <c r="E28" s="6" t="n">
        <v>1</v>
      </c>
    </row>
    <row r="29" customFormat="false" ht="15" hidden="false" customHeight="true" outlineLevel="0" collapsed="false">
      <c r="A29" s="6" t="n">
        <v>2888</v>
      </c>
      <c r="B29" s="6" t="s">
        <v>77</v>
      </c>
      <c r="C29" s="6" t="n">
        <v>2886</v>
      </c>
      <c r="D29" s="6" t="s">
        <v>306</v>
      </c>
      <c r="E29" s="6" t="n">
        <v>1</v>
      </c>
    </row>
    <row r="30" customFormat="false" ht="15" hidden="false" customHeight="true" outlineLevel="0" collapsed="false">
      <c r="A30" s="6" t="n">
        <v>2888</v>
      </c>
      <c r="B30" s="6" t="s">
        <v>77</v>
      </c>
      <c r="C30" s="6" t="n">
        <v>2894</v>
      </c>
      <c r="D30" s="6" t="s">
        <v>307</v>
      </c>
      <c r="E30" s="6" t="n">
        <v>1</v>
      </c>
    </row>
    <row r="31" customFormat="false" ht="15" hidden="false" customHeight="true" outlineLevel="0" collapsed="false">
      <c r="A31" s="6" t="n">
        <v>17198</v>
      </c>
      <c r="B31" s="6" t="s">
        <v>79</v>
      </c>
      <c r="C31" s="6" t="n">
        <v>6889</v>
      </c>
      <c r="D31" s="6" t="s">
        <v>295</v>
      </c>
      <c r="E31" s="6" t="n">
        <v>1</v>
      </c>
    </row>
    <row r="32" customFormat="false" ht="15" hidden="false" customHeight="true" outlineLevel="0" collapsed="false">
      <c r="A32" s="6" t="n">
        <v>17198</v>
      </c>
      <c r="B32" s="6" t="s">
        <v>79</v>
      </c>
      <c r="C32" s="6" t="n">
        <v>1179</v>
      </c>
      <c r="D32" s="6" t="s">
        <v>308</v>
      </c>
      <c r="E32" s="6" t="n">
        <v>1</v>
      </c>
    </row>
    <row r="33" customFormat="false" ht="15" hidden="false" customHeight="true" outlineLevel="0" collapsed="false">
      <c r="A33" s="6" t="n">
        <v>17198</v>
      </c>
      <c r="B33" s="6" t="s">
        <v>79</v>
      </c>
      <c r="C33" s="6" t="n">
        <v>17196</v>
      </c>
      <c r="D33" s="6" t="s">
        <v>309</v>
      </c>
      <c r="E33" s="6" t="n">
        <v>1</v>
      </c>
    </row>
    <row r="34" customFormat="false" ht="15" hidden="false" customHeight="true" outlineLevel="0" collapsed="false">
      <c r="A34" s="6" t="n">
        <v>17198</v>
      </c>
      <c r="B34" s="6" t="s">
        <v>79</v>
      </c>
      <c r="C34" s="6" t="n">
        <v>17194</v>
      </c>
      <c r="D34" s="6" t="s">
        <v>301</v>
      </c>
      <c r="E34" s="6" t="n">
        <v>1</v>
      </c>
    </row>
    <row r="35" customFormat="false" ht="15" hidden="false" customHeight="true" outlineLevel="0" collapsed="false">
      <c r="A35" s="6" t="n">
        <v>5474</v>
      </c>
      <c r="B35" s="6" t="s">
        <v>81</v>
      </c>
      <c r="C35" s="6" t="n">
        <v>5467</v>
      </c>
      <c r="D35" s="6" t="s">
        <v>310</v>
      </c>
      <c r="E35" s="6" t="n">
        <v>1</v>
      </c>
    </row>
    <row r="36" customFormat="false" ht="15" hidden="false" customHeight="true" outlineLevel="0" collapsed="false">
      <c r="A36" s="6" t="n">
        <v>5474</v>
      </c>
      <c r="B36" s="6" t="s">
        <v>81</v>
      </c>
      <c r="C36" s="6" t="n">
        <v>2678</v>
      </c>
      <c r="D36" s="6" t="s">
        <v>271</v>
      </c>
      <c r="E36" s="6" t="n">
        <v>1</v>
      </c>
    </row>
    <row r="37" customFormat="false" ht="15" hidden="false" customHeight="true" outlineLevel="0" collapsed="false">
      <c r="A37" s="6" t="n">
        <v>250080</v>
      </c>
      <c r="B37" s="6" t="s">
        <v>82</v>
      </c>
      <c r="C37" s="6" t="n">
        <v>6889</v>
      </c>
      <c r="D37" s="6" t="s">
        <v>295</v>
      </c>
      <c r="E37" s="6" t="n">
        <v>1</v>
      </c>
    </row>
    <row r="38" customFormat="false" ht="15" hidden="false" customHeight="true" outlineLevel="0" collapsed="false">
      <c r="A38" s="6" t="n">
        <v>250080</v>
      </c>
      <c r="B38" s="6" t="s">
        <v>82</v>
      </c>
      <c r="C38" s="6" t="n">
        <v>2678</v>
      </c>
      <c r="D38" s="6" t="s">
        <v>271</v>
      </c>
      <c r="E38" s="6" t="n">
        <v>4</v>
      </c>
    </row>
    <row r="39" customFormat="false" ht="15" hidden="false" customHeight="true" outlineLevel="0" collapsed="false">
      <c r="A39" s="6" t="n">
        <v>6890</v>
      </c>
      <c r="B39" s="6" t="s">
        <v>84</v>
      </c>
      <c r="C39" s="6" t="n">
        <v>3173</v>
      </c>
      <c r="D39" s="6" t="s">
        <v>272</v>
      </c>
      <c r="E39" s="6" t="n">
        <v>1</v>
      </c>
    </row>
    <row r="40" customFormat="false" ht="15" hidden="false" customHeight="true" outlineLevel="0" collapsed="false">
      <c r="A40" s="6" t="n">
        <v>249872</v>
      </c>
      <c r="B40" s="6" t="s">
        <v>86</v>
      </c>
      <c r="C40" s="6" t="n">
        <v>1179</v>
      </c>
      <c r="D40" s="6" t="s">
        <v>308</v>
      </c>
      <c r="E40" s="6" t="n">
        <v>1</v>
      </c>
    </row>
    <row r="41" customFormat="false" ht="15" hidden="false" customHeight="true" outlineLevel="0" collapsed="false">
      <c r="A41" s="6" t="n">
        <v>249872</v>
      </c>
      <c r="B41" s="6" t="s">
        <v>86</v>
      </c>
      <c r="C41" s="6" t="n">
        <v>2678</v>
      </c>
      <c r="D41" s="6" t="s">
        <v>271</v>
      </c>
      <c r="E41" s="6" t="n">
        <v>2</v>
      </c>
    </row>
    <row r="42" customFormat="false" ht="15" hidden="false" customHeight="true" outlineLevel="0" collapsed="false">
      <c r="A42" s="6" t="n">
        <v>249872</v>
      </c>
      <c r="B42" s="6" t="s">
        <v>86</v>
      </c>
      <c r="C42" s="6" t="n">
        <v>3174</v>
      </c>
      <c r="D42" s="6" t="s">
        <v>311</v>
      </c>
      <c r="E42" s="6" t="n">
        <v>1</v>
      </c>
    </row>
    <row r="43" customFormat="false" ht="15" hidden="false" customHeight="true" outlineLevel="0" collapsed="false">
      <c r="A43" s="6" t="n">
        <v>249866</v>
      </c>
      <c r="B43" s="6" t="s">
        <v>88</v>
      </c>
      <c r="C43" s="6" t="n">
        <v>1179</v>
      </c>
      <c r="D43" s="6" t="s">
        <v>308</v>
      </c>
      <c r="E43" s="6" t="n">
        <v>1</v>
      </c>
    </row>
    <row r="44" customFormat="false" ht="15" hidden="false" customHeight="true" outlineLevel="0" collapsed="false">
      <c r="A44" s="6" t="n">
        <v>249866</v>
      </c>
      <c r="B44" s="6" t="s">
        <v>88</v>
      </c>
      <c r="C44" s="6" t="n">
        <v>785</v>
      </c>
      <c r="D44" s="6" t="s">
        <v>312</v>
      </c>
      <c r="E44" s="6" t="n">
        <v>2</v>
      </c>
    </row>
    <row r="45" customFormat="false" ht="15" hidden="false" customHeight="true" outlineLevel="0" collapsed="false">
      <c r="A45" s="6" t="n">
        <v>5525</v>
      </c>
      <c r="B45" s="6" t="s">
        <v>90</v>
      </c>
      <c r="C45" s="6" t="n">
        <v>5503</v>
      </c>
      <c r="D45" s="6" t="s">
        <v>313</v>
      </c>
      <c r="E45" s="6" t="n">
        <v>1</v>
      </c>
    </row>
    <row r="46" customFormat="false" ht="15" hidden="false" customHeight="true" outlineLevel="0" collapsed="false">
      <c r="A46" s="6" t="n">
        <v>5525</v>
      </c>
      <c r="B46" s="6" t="s">
        <v>90</v>
      </c>
      <c r="C46" s="6" t="n">
        <v>159</v>
      </c>
      <c r="D46" s="6" t="s">
        <v>293</v>
      </c>
      <c r="E46" s="6" t="n">
        <v>1</v>
      </c>
    </row>
    <row r="47" customFormat="false" ht="15" hidden="false" customHeight="true" outlineLevel="0" collapsed="false">
      <c r="A47" s="6" t="n">
        <v>2684</v>
      </c>
      <c r="B47" s="6" t="s">
        <v>92</v>
      </c>
      <c r="C47" s="6" t="n">
        <v>2673</v>
      </c>
      <c r="D47" s="6" t="s">
        <v>314</v>
      </c>
      <c r="E47" s="6" t="n">
        <v>1</v>
      </c>
    </row>
    <row r="48" customFormat="false" ht="15" hidden="false" customHeight="true" outlineLevel="0" collapsed="false">
      <c r="A48" s="6" t="n">
        <v>5477</v>
      </c>
      <c r="B48" s="6" t="s">
        <v>93</v>
      </c>
      <c r="C48" s="6" t="n">
        <v>5469</v>
      </c>
      <c r="D48" s="6" t="s">
        <v>315</v>
      </c>
      <c r="E48" s="6" t="n">
        <v>1</v>
      </c>
    </row>
    <row r="49" customFormat="false" ht="15" hidden="false" customHeight="true" outlineLevel="0" collapsed="false">
      <c r="A49" s="6" t="n">
        <v>5477</v>
      </c>
      <c r="B49" s="6" t="s">
        <v>93</v>
      </c>
      <c r="C49" s="6" t="n">
        <v>4536</v>
      </c>
      <c r="D49" s="6" t="s">
        <v>316</v>
      </c>
      <c r="E49" s="6" t="n">
        <v>1</v>
      </c>
    </row>
    <row r="50" customFormat="false" ht="15" hidden="false" customHeight="true" outlineLevel="0" collapsed="false">
      <c r="A50" s="6" t="n">
        <v>6316</v>
      </c>
      <c r="B50" s="6" t="s">
        <v>95</v>
      </c>
      <c r="C50" s="6" t="n">
        <v>6317</v>
      </c>
      <c r="D50" s="6" t="s">
        <v>317</v>
      </c>
      <c r="E50" s="6" t="n">
        <v>1</v>
      </c>
    </row>
    <row r="51" customFormat="false" ht="15" hidden="false" customHeight="true" outlineLevel="0" collapsed="false">
      <c r="A51" s="6" t="n">
        <v>6316</v>
      </c>
      <c r="B51" s="6" t="s">
        <v>95</v>
      </c>
      <c r="C51" s="6" t="n">
        <v>2678</v>
      </c>
      <c r="D51" s="6" t="s">
        <v>271</v>
      </c>
      <c r="E51" s="6" t="n">
        <v>1</v>
      </c>
    </row>
    <row r="52" customFormat="false" ht="15" hidden="false" customHeight="true" outlineLevel="0" collapsed="false">
      <c r="A52" s="6" t="n">
        <v>5476</v>
      </c>
      <c r="B52" s="6" t="s">
        <v>96</v>
      </c>
      <c r="C52" s="6" t="n">
        <v>5468</v>
      </c>
      <c r="D52" s="6" t="s">
        <v>318</v>
      </c>
      <c r="E52" s="6" t="n">
        <v>1</v>
      </c>
    </row>
    <row r="53" customFormat="false" ht="15" hidden="false" customHeight="true" outlineLevel="0" collapsed="false">
      <c r="A53" s="6" t="n">
        <v>5476</v>
      </c>
      <c r="B53" s="6" t="s">
        <v>96</v>
      </c>
      <c r="C53" s="6" t="n">
        <v>2678</v>
      </c>
      <c r="D53" s="6" t="s">
        <v>271</v>
      </c>
      <c r="E53" s="6" t="n">
        <v>1</v>
      </c>
    </row>
    <row r="54" customFormat="false" ht="15" hidden="false" customHeight="true" outlineLevel="0" collapsed="false">
      <c r="A54" s="6" t="n">
        <v>4592</v>
      </c>
      <c r="B54" s="6" t="s">
        <v>97</v>
      </c>
      <c r="C54" s="6" t="n">
        <v>6289</v>
      </c>
      <c r="D54" s="6" t="s">
        <v>319</v>
      </c>
      <c r="E54" s="6" t="n">
        <v>1</v>
      </c>
    </row>
    <row r="55" customFormat="false" ht="15" hidden="false" customHeight="true" outlineLevel="0" collapsed="false">
      <c r="A55" s="6" t="n">
        <v>5095</v>
      </c>
      <c r="B55" s="6" t="s">
        <v>98</v>
      </c>
      <c r="C55" s="6" t="n">
        <v>6361</v>
      </c>
      <c r="D55" s="6" t="s">
        <v>320</v>
      </c>
      <c r="E55" s="6" t="n">
        <v>1</v>
      </c>
    </row>
    <row r="56" customFormat="false" ht="15" hidden="false" customHeight="true" outlineLevel="0" collapsed="false">
      <c r="A56" s="6" t="n">
        <v>724</v>
      </c>
      <c r="B56" s="6" t="s">
        <v>99</v>
      </c>
      <c r="C56" s="6" t="n">
        <v>723</v>
      </c>
      <c r="D56" s="6" t="s">
        <v>321</v>
      </c>
      <c r="E56" s="6" t="n">
        <v>1</v>
      </c>
    </row>
    <row r="57" customFormat="false" ht="15" hidden="false" customHeight="true" outlineLevel="0" collapsed="false">
      <c r="A57" s="6" t="n">
        <v>724</v>
      </c>
      <c r="B57" s="6" t="s">
        <v>99</v>
      </c>
      <c r="C57" s="6" t="n">
        <v>2678</v>
      </c>
      <c r="D57" s="6" t="s">
        <v>271</v>
      </c>
      <c r="E57" s="6" t="n">
        <v>1</v>
      </c>
    </row>
    <row r="58" customFormat="false" ht="15" hidden="false" customHeight="true" outlineLevel="0" collapsed="false">
      <c r="A58" s="6" t="n">
        <v>279961</v>
      </c>
      <c r="B58" s="6" t="s">
        <v>100</v>
      </c>
      <c r="C58" s="6" t="n">
        <v>11291</v>
      </c>
      <c r="D58" s="6" t="s">
        <v>322</v>
      </c>
      <c r="E58" s="6" t="n">
        <v>1</v>
      </c>
    </row>
    <row r="59" customFormat="false" ht="15" hidden="false" customHeight="true" outlineLevel="0" collapsed="false">
      <c r="A59" s="6" t="n">
        <v>3220</v>
      </c>
      <c r="B59" s="6" t="s">
        <v>102</v>
      </c>
      <c r="C59" s="6" t="n">
        <v>3173</v>
      </c>
      <c r="D59" s="6" t="s">
        <v>272</v>
      </c>
      <c r="E59" s="6" t="n">
        <v>1</v>
      </c>
    </row>
    <row r="60" customFormat="false" ht="15" hidden="false" customHeight="true" outlineLevel="0" collapsed="false">
      <c r="A60" s="6" t="n">
        <v>3220</v>
      </c>
      <c r="B60" s="6" t="s">
        <v>102</v>
      </c>
      <c r="C60" s="6" t="n">
        <v>3172</v>
      </c>
      <c r="D60" s="6" t="s">
        <v>323</v>
      </c>
      <c r="E60" s="6" t="n">
        <v>1</v>
      </c>
    </row>
    <row r="61" customFormat="false" ht="15" hidden="false" customHeight="true" outlineLevel="0" collapsed="false">
      <c r="A61" s="6" t="n">
        <v>3220</v>
      </c>
      <c r="B61" s="6" t="s">
        <v>102</v>
      </c>
      <c r="C61" s="6" t="n">
        <v>3174</v>
      </c>
      <c r="D61" s="6" t="s">
        <v>311</v>
      </c>
      <c r="E61" s="6" t="n">
        <v>1</v>
      </c>
    </row>
    <row r="62" customFormat="false" ht="15" hidden="false" customHeight="true" outlineLevel="0" collapsed="false">
      <c r="A62" s="6" t="n">
        <v>7676</v>
      </c>
      <c r="B62" s="6" t="s">
        <v>104</v>
      </c>
      <c r="C62" s="6" t="n">
        <v>2452</v>
      </c>
      <c r="D62" s="6" t="s">
        <v>324</v>
      </c>
      <c r="E62" s="6" t="n">
        <v>1</v>
      </c>
    </row>
    <row r="63" customFormat="false" ht="15" hidden="false" customHeight="true" outlineLevel="0" collapsed="false">
      <c r="A63" s="6" t="n">
        <v>7676</v>
      </c>
      <c r="B63" s="6" t="s">
        <v>104</v>
      </c>
      <c r="C63" s="6" t="n">
        <v>159</v>
      </c>
      <c r="D63" s="6" t="s">
        <v>293</v>
      </c>
      <c r="E63" s="6" t="n">
        <v>1</v>
      </c>
    </row>
    <row r="64" customFormat="false" ht="15" hidden="false" customHeight="true" outlineLevel="0" collapsed="false">
      <c r="A64" s="6" t="n">
        <v>2683</v>
      </c>
      <c r="B64" s="6" t="s">
        <v>105</v>
      </c>
      <c r="C64" s="6" t="n">
        <v>2674</v>
      </c>
      <c r="D64" s="6" t="s">
        <v>325</v>
      </c>
      <c r="E64" s="6" t="n">
        <v>1</v>
      </c>
    </row>
    <row r="65" customFormat="false" ht="15" hidden="false" customHeight="true" outlineLevel="0" collapsed="false">
      <c r="A65" s="6" t="n">
        <v>2683</v>
      </c>
      <c r="B65" s="6" t="s">
        <v>105</v>
      </c>
      <c r="C65" s="6" t="n">
        <v>2678</v>
      </c>
      <c r="D65" s="6" t="s">
        <v>271</v>
      </c>
      <c r="E65" s="6" t="n">
        <v>1</v>
      </c>
    </row>
    <row r="66" customFormat="false" ht="15" hidden="false" customHeight="true" outlineLevel="0" collapsed="false">
      <c r="A66" s="6" t="n">
        <v>250077</v>
      </c>
      <c r="B66" s="6" t="s">
        <v>107</v>
      </c>
      <c r="C66" s="6" t="n">
        <v>12184</v>
      </c>
      <c r="D66" s="6" t="s">
        <v>326</v>
      </c>
      <c r="E66" s="6" t="n">
        <v>1</v>
      </c>
    </row>
    <row r="67" customFormat="false" ht="15" hidden="false" customHeight="true" outlineLevel="0" collapsed="false">
      <c r="A67" s="6" t="n">
        <v>250077</v>
      </c>
      <c r="B67" s="6" t="s">
        <v>107</v>
      </c>
      <c r="C67" s="6" t="n">
        <v>2678</v>
      </c>
      <c r="D67" s="6" t="s">
        <v>271</v>
      </c>
      <c r="E67" s="6" t="n">
        <v>2</v>
      </c>
    </row>
    <row r="68" customFormat="false" ht="15" hidden="false" customHeight="true" outlineLevel="0" collapsed="false">
      <c r="A68" s="6" t="n">
        <v>733</v>
      </c>
      <c r="B68" s="6" t="s">
        <v>109</v>
      </c>
      <c r="C68" s="6" t="n">
        <v>729</v>
      </c>
      <c r="D68" s="6" t="s">
        <v>327</v>
      </c>
      <c r="E68" s="6" t="n">
        <v>1</v>
      </c>
    </row>
    <row r="69" customFormat="false" ht="15" hidden="false" customHeight="true" outlineLevel="0" collapsed="false">
      <c r="A69" s="6" t="n">
        <v>733</v>
      </c>
      <c r="B69" s="6" t="s">
        <v>109</v>
      </c>
      <c r="C69" s="6" t="n">
        <v>730</v>
      </c>
      <c r="D69" s="6" t="s">
        <v>328</v>
      </c>
      <c r="E69" s="6" t="n">
        <v>1</v>
      </c>
    </row>
    <row r="70" customFormat="false" ht="15" hidden="false" customHeight="true" outlineLevel="0" collapsed="false">
      <c r="A70" s="6" t="n">
        <v>733</v>
      </c>
      <c r="B70" s="6" t="s">
        <v>109</v>
      </c>
      <c r="C70" s="6" t="n">
        <v>731</v>
      </c>
      <c r="D70" s="6" t="s">
        <v>329</v>
      </c>
      <c r="E70" s="6" t="n">
        <v>1</v>
      </c>
    </row>
    <row r="71" customFormat="false" ht="15" hidden="false" customHeight="true" outlineLevel="0" collapsed="false">
      <c r="A71" s="6" t="n">
        <v>2687</v>
      </c>
      <c r="B71" s="6" t="s">
        <v>111</v>
      </c>
      <c r="C71" s="6" t="n">
        <v>2677</v>
      </c>
      <c r="D71" s="6" t="s">
        <v>273</v>
      </c>
      <c r="E71" s="6" t="n">
        <v>1</v>
      </c>
    </row>
    <row r="72" customFormat="false" ht="15" hidden="false" customHeight="true" outlineLevel="0" collapsed="false">
      <c r="A72" s="6" t="n">
        <v>2687</v>
      </c>
      <c r="B72" s="6" t="s">
        <v>111</v>
      </c>
      <c r="C72" s="6" t="n">
        <v>2678</v>
      </c>
      <c r="D72" s="6" t="s">
        <v>271</v>
      </c>
      <c r="E72" s="6" t="n">
        <v>1</v>
      </c>
    </row>
    <row r="73" customFormat="false" ht="15" hidden="false" customHeight="true" outlineLevel="0" collapsed="false">
      <c r="A73" s="6" t="n">
        <v>21072</v>
      </c>
      <c r="B73" s="6" t="s">
        <v>113</v>
      </c>
      <c r="C73" s="6" t="n">
        <v>21071</v>
      </c>
      <c r="D73" s="6" t="s">
        <v>330</v>
      </c>
      <c r="E73" s="6" t="n">
        <v>1</v>
      </c>
    </row>
    <row r="74" customFormat="false" ht="15" hidden="false" customHeight="true" outlineLevel="0" collapsed="false">
      <c r="A74" s="6" t="n">
        <v>21072</v>
      </c>
      <c r="B74" s="6" t="s">
        <v>113</v>
      </c>
      <c r="C74" s="6" t="n">
        <v>2678</v>
      </c>
      <c r="D74" s="6" t="s">
        <v>271</v>
      </c>
      <c r="E74" s="6" t="n">
        <v>1</v>
      </c>
    </row>
    <row r="75" customFormat="false" ht="15" hidden="false" customHeight="true" outlineLevel="0" collapsed="false">
      <c r="A75" s="6" t="n">
        <v>3662</v>
      </c>
      <c r="B75" s="6" t="s">
        <v>115</v>
      </c>
      <c r="C75" s="6" t="n">
        <v>2924</v>
      </c>
      <c r="D75" s="6" t="s">
        <v>331</v>
      </c>
      <c r="E75" s="6" t="n">
        <v>1</v>
      </c>
    </row>
    <row r="76" customFormat="false" ht="15" hidden="false" customHeight="true" outlineLevel="0" collapsed="false">
      <c r="A76" s="6" t="n">
        <v>3662</v>
      </c>
      <c r="B76" s="6" t="s">
        <v>115</v>
      </c>
      <c r="C76" s="6" t="n">
        <v>2678</v>
      </c>
      <c r="D76" s="6" t="s">
        <v>271</v>
      </c>
      <c r="E76" s="6" t="n">
        <v>1</v>
      </c>
    </row>
    <row r="77" customFormat="false" ht="15" hidden="false" customHeight="true" outlineLevel="0" collapsed="false">
      <c r="A77" s="6" t="n">
        <v>6657</v>
      </c>
      <c r="B77" s="6" t="s">
        <v>116</v>
      </c>
      <c r="C77" s="6" t="n">
        <v>6522</v>
      </c>
      <c r="D77" s="6" t="s">
        <v>332</v>
      </c>
      <c r="E77" s="6" t="n">
        <v>1</v>
      </c>
    </row>
    <row r="78" customFormat="false" ht="15" hidden="false" customHeight="true" outlineLevel="0" collapsed="false">
      <c r="A78" s="6" t="n">
        <v>6657</v>
      </c>
      <c r="B78" s="6" t="s">
        <v>116</v>
      </c>
      <c r="C78" s="6" t="n">
        <v>2678</v>
      </c>
      <c r="D78" s="6" t="s">
        <v>271</v>
      </c>
      <c r="E78" s="6" t="n">
        <v>1</v>
      </c>
    </row>
    <row r="79" customFormat="false" ht="15" hidden="false" customHeight="true" outlineLevel="0" collapsed="false">
      <c r="A79" s="6" t="n">
        <v>251525</v>
      </c>
      <c r="B79" s="6" t="s">
        <v>118</v>
      </c>
      <c r="C79" s="6" t="n">
        <v>251524</v>
      </c>
      <c r="D79" s="6" t="s">
        <v>333</v>
      </c>
      <c r="E79" s="6" t="n">
        <v>1</v>
      </c>
    </row>
    <row r="80" customFormat="false" ht="15" hidden="false" customHeight="true" outlineLevel="0" collapsed="false">
      <c r="A80" s="6" t="n">
        <v>251525</v>
      </c>
      <c r="B80" s="6" t="s">
        <v>118</v>
      </c>
      <c r="C80" s="6" t="n">
        <v>2678</v>
      </c>
      <c r="D80" s="6" t="s">
        <v>271</v>
      </c>
      <c r="E80" s="6" t="n">
        <v>1</v>
      </c>
    </row>
    <row r="81" customFormat="false" ht="15" hidden="false" customHeight="true" outlineLevel="0" collapsed="false">
      <c r="A81" s="6" t="n">
        <v>2682</v>
      </c>
      <c r="B81" s="6" t="s">
        <v>119</v>
      </c>
      <c r="C81" s="6" t="n">
        <v>2675</v>
      </c>
      <c r="D81" s="6" t="s">
        <v>298</v>
      </c>
      <c r="E81" s="6" t="n">
        <v>1</v>
      </c>
    </row>
    <row r="82" customFormat="false" ht="15" hidden="false" customHeight="true" outlineLevel="0" collapsed="false">
      <c r="A82" s="6" t="n">
        <v>2682</v>
      </c>
      <c r="B82" s="6" t="s">
        <v>119</v>
      </c>
      <c r="C82" s="6" t="n">
        <v>2678</v>
      </c>
      <c r="D82" s="6" t="s">
        <v>271</v>
      </c>
      <c r="E82" s="6" t="n">
        <v>1</v>
      </c>
    </row>
    <row r="83" customFormat="false" ht="15" hidden="false" customHeight="true" outlineLevel="0" collapsed="false">
      <c r="A83" s="6" t="n">
        <v>5478</v>
      </c>
      <c r="B83" s="6" t="s">
        <v>120</v>
      </c>
      <c r="C83" s="6" t="n">
        <v>5051</v>
      </c>
      <c r="D83" s="6" t="s">
        <v>334</v>
      </c>
      <c r="E83" s="6" t="n">
        <v>1</v>
      </c>
    </row>
    <row r="84" customFormat="false" ht="15" hidden="false" customHeight="true" outlineLevel="0" collapsed="false">
      <c r="A84" s="6" t="n">
        <v>3663</v>
      </c>
      <c r="B84" s="6" t="s">
        <v>122</v>
      </c>
      <c r="C84" s="6" t="n">
        <v>1468</v>
      </c>
      <c r="D84" s="6" t="s">
        <v>335</v>
      </c>
      <c r="E84" s="6" t="n">
        <v>2</v>
      </c>
    </row>
    <row r="85" customFormat="false" ht="15" hidden="false" customHeight="true" outlineLevel="0" collapsed="false">
      <c r="A85" s="6" t="n">
        <v>3663</v>
      </c>
      <c r="B85" s="6" t="s">
        <v>122</v>
      </c>
      <c r="C85" s="6" t="n">
        <v>2692</v>
      </c>
      <c r="D85" s="6" t="s">
        <v>275</v>
      </c>
      <c r="E85" s="6" t="n">
        <v>1</v>
      </c>
    </row>
    <row r="86" customFormat="false" ht="15" hidden="false" customHeight="true" outlineLevel="0" collapsed="false">
      <c r="A86" s="6" t="n">
        <v>5526</v>
      </c>
      <c r="B86" s="6" t="s">
        <v>123</v>
      </c>
      <c r="C86" s="6" t="n">
        <v>5503</v>
      </c>
      <c r="D86" s="6" t="s">
        <v>313</v>
      </c>
      <c r="E86" s="6" t="n">
        <v>1</v>
      </c>
    </row>
    <row r="87" customFormat="false" ht="15" hidden="false" customHeight="true" outlineLevel="0" collapsed="false">
      <c r="A87" s="6" t="n">
        <v>5526</v>
      </c>
      <c r="B87" s="6" t="s">
        <v>123</v>
      </c>
      <c r="C87" s="6" t="n">
        <v>1179</v>
      </c>
      <c r="D87" s="6" t="s">
        <v>308</v>
      </c>
      <c r="E87" s="6" t="n">
        <v>1</v>
      </c>
    </row>
    <row r="88" customFormat="false" ht="15" hidden="false" customHeight="true" outlineLevel="0" collapsed="false">
      <c r="A88" s="6" t="n">
        <v>5526</v>
      </c>
      <c r="B88" s="6" t="s">
        <v>123</v>
      </c>
      <c r="C88" s="6" t="n">
        <v>2678</v>
      </c>
      <c r="D88" s="6" t="s">
        <v>271</v>
      </c>
      <c r="E88" s="6" t="n">
        <v>1</v>
      </c>
    </row>
    <row r="89" customFormat="false" ht="15" hidden="false" customHeight="true" outlineLevel="0" collapsed="false">
      <c r="A89" s="6" t="n">
        <v>2685</v>
      </c>
      <c r="B89" s="6" t="s">
        <v>124</v>
      </c>
      <c r="C89" s="6" t="n">
        <v>2677</v>
      </c>
      <c r="D89" s="6" t="s">
        <v>273</v>
      </c>
      <c r="E89" s="6" t="n">
        <v>2</v>
      </c>
    </row>
    <row r="90" customFormat="false" ht="15" hidden="false" customHeight="true" outlineLevel="0" collapsed="false">
      <c r="A90" s="6" t="n">
        <v>2685</v>
      </c>
      <c r="B90" s="6" t="s">
        <v>124</v>
      </c>
      <c r="C90" s="6" t="n">
        <v>2692</v>
      </c>
      <c r="D90" s="6" t="s">
        <v>275</v>
      </c>
      <c r="E90" s="6" t="n">
        <v>1</v>
      </c>
    </row>
    <row r="91" customFormat="false" ht="15" hidden="false" customHeight="true" outlineLevel="0" collapsed="false">
      <c r="A91" s="6" t="n">
        <v>1082</v>
      </c>
      <c r="B91" s="6" t="s">
        <v>126</v>
      </c>
      <c r="C91" s="6" t="n">
        <v>1081</v>
      </c>
      <c r="D91" s="6" t="s">
        <v>336</v>
      </c>
      <c r="E91" s="6" t="n">
        <v>1</v>
      </c>
    </row>
    <row r="92" customFormat="false" ht="15" hidden="false" customHeight="true" outlineLevel="0" collapsed="false">
      <c r="A92" s="6" t="n">
        <v>1082</v>
      </c>
      <c r="B92" s="6" t="s">
        <v>126</v>
      </c>
      <c r="C92" s="6" t="n">
        <v>1080</v>
      </c>
      <c r="D92" s="6" t="s">
        <v>337</v>
      </c>
      <c r="E92" s="6" t="n">
        <v>1</v>
      </c>
    </row>
    <row r="93" customFormat="false" ht="15" hidden="false" customHeight="true" outlineLevel="0" collapsed="false">
      <c r="A93" s="6" t="n">
        <v>249873</v>
      </c>
      <c r="B93" s="6" t="s">
        <v>128</v>
      </c>
      <c r="C93" s="6" t="n">
        <v>1205</v>
      </c>
      <c r="D93" s="6" t="s">
        <v>338</v>
      </c>
      <c r="E93" s="6" t="n">
        <v>1</v>
      </c>
    </row>
    <row r="94" customFormat="false" ht="15" hidden="false" customHeight="true" outlineLevel="0" collapsed="false">
      <c r="A94" s="6" t="n">
        <v>249873</v>
      </c>
      <c r="B94" s="6" t="s">
        <v>128</v>
      </c>
      <c r="C94" s="6" t="n">
        <v>2692</v>
      </c>
      <c r="D94" s="6" t="s">
        <v>275</v>
      </c>
      <c r="E94" s="6" t="n">
        <v>2</v>
      </c>
    </row>
    <row r="95" customFormat="false" ht="15" hidden="false" customHeight="true" outlineLevel="0" collapsed="false">
      <c r="A95" s="6" t="n">
        <v>249873</v>
      </c>
      <c r="B95" s="6" t="s">
        <v>128</v>
      </c>
      <c r="C95" s="6" t="n">
        <v>1468</v>
      </c>
      <c r="D95" s="6" t="s">
        <v>335</v>
      </c>
      <c r="E95" s="6" t="n">
        <v>1</v>
      </c>
    </row>
    <row r="96" customFormat="false" ht="15" hidden="false" customHeight="true" outlineLevel="0" collapsed="false">
      <c r="A96" s="6" t="n">
        <v>1017</v>
      </c>
      <c r="B96" s="6" t="s">
        <v>130</v>
      </c>
      <c r="C96" s="6" t="n">
        <v>1015</v>
      </c>
      <c r="D96" s="6" t="s">
        <v>148</v>
      </c>
      <c r="E96" s="6" t="n">
        <v>2</v>
      </c>
    </row>
    <row r="97" customFormat="false" ht="15" hidden="false" customHeight="true" outlineLevel="0" collapsed="false">
      <c r="A97" s="6" t="n">
        <v>1017</v>
      </c>
      <c r="B97" s="6" t="s">
        <v>130</v>
      </c>
      <c r="C97" s="6" t="n">
        <v>2678</v>
      </c>
      <c r="D97" s="6" t="s">
        <v>271</v>
      </c>
      <c r="E97" s="6" t="n">
        <v>1</v>
      </c>
    </row>
    <row r="98" customFormat="false" ht="15" hidden="false" customHeight="true" outlineLevel="0" collapsed="false">
      <c r="A98" s="6" t="n">
        <v>4593</v>
      </c>
      <c r="B98" s="6" t="s">
        <v>132</v>
      </c>
      <c r="C98" s="6" t="n">
        <v>6308</v>
      </c>
      <c r="D98" s="6" t="s">
        <v>339</v>
      </c>
      <c r="E98" s="6" t="n">
        <v>1</v>
      </c>
    </row>
    <row r="99" customFormat="false" ht="15" hidden="false" customHeight="true" outlineLevel="0" collapsed="false">
      <c r="A99" s="6" t="n">
        <v>5479</v>
      </c>
      <c r="B99" s="6" t="s">
        <v>133</v>
      </c>
      <c r="C99" s="6" t="n">
        <v>5470</v>
      </c>
      <c r="D99" s="6" t="s">
        <v>340</v>
      </c>
      <c r="E99" s="6" t="n">
        <v>1</v>
      </c>
    </row>
    <row r="100" customFormat="false" ht="15" hidden="false" customHeight="true" outlineLevel="0" collapsed="false">
      <c r="A100" s="6" t="n">
        <v>5479</v>
      </c>
      <c r="B100" s="6" t="s">
        <v>133</v>
      </c>
      <c r="C100" s="6" t="n">
        <v>2692</v>
      </c>
      <c r="D100" s="6" t="s">
        <v>275</v>
      </c>
      <c r="E100" s="6" t="n">
        <v>1</v>
      </c>
    </row>
    <row r="101" customFormat="false" ht="15" hidden="false" customHeight="true" outlineLevel="0" collapsed="false">
      <c r="A101" s="6" t="n">
        <v>279957</v>
      </c>
      <c r="B101" s="6" t="s">
        <v>134</v>
      </c>
      <c r="C101" s="6" t="n">
        <v>12037</v>
      </c>
      <c r="D101" s="6" t="s">
        <v>341</v>
      </c>
      <c r="E101" s="6" t="n">
        <v>2</v>
      </c>
    </row>
    <row r="102" customFormat="false" ht="15" hidden="false" customHeight="true" outlineLevel="0" collapsed="false">
      <c r="A102" s="6" t="n">
        <v>279957</v>
      </c>
      <c r="B102" s="6" t="s">
        <v>134</v>
      </c>
      <c r="C102" s="6" t="n">
        <v>12204</v>
      </c>
      <c r="D102" s="6" t="s">
        <v>342</v>
      </c>
      <c r="E102" s="6" t="n">
        <v>1</v>
      </c>
    </row>
    <row r="103" customFormat="false" ht="15" hidden="false" customHeight="true" outlineLevel="0" collapsed="false">
      <c r="A103" s="6" t="n">
        <v>279957</v>
      </c>
      <c r="B103" s="6" t="s">
        <v>134</v>
      </c>
      <c r="C103" s="6" t="n">
        <v>3713</v>
      </c>
      <c r="D103" s="6" t="s">
        <v>277</v>
      </c>
      <c r="E103" s="6" t="n">
        <v>1</v>
      </c>
    </row>
    <row r="104" customFormat="false" ht="15" hidden="false" customHeight="true" outlineLevel="0" collapsed="false">
      <c r="A104" s="6" t="n">
        <v>3726</v>
      </c>
      <c r="B104" s="6" t="s">
        <v>136</v>
      </c>
      <c r="C104" s="6" t="n">
        <v>3730</v>
      </c>
      <c r="D104" s="6" t="s">
        <v>343</v>
      </c>
      <c r="E104" s="6" t="n">
        <v>1</v>
      </c>
    </row>
    <row r="105" customFormat="false" ht="15" hidden="false" customHeight="true" outlineLevel="0" collapsed="false">
      <c r="A105" s="6" t="n">
        <v>3726</v>
      </c>
      <c r="B105" s="6" t="s">
        <v>136</v>
      </c>
      <c r="C105" s="6" t="n">
        <v>2692</v>
      </c>
      <c r="D105" s="6" t="s">
        <v>275</v>
      </c>
      <c r="E105" s="6" t="n">
        <v>1</v>
      </c>
    </row>
    <row r="106" customFormat="false" ht="15" hidden="false" customHeight="true" outlineLevel="0" collapsed="false">
      <c r="A106" s="6" t="n">
        <v>3666</v>
      </c>
      <c r="B106" s="6" t="s">
        <v>138</v>
      </c>
      <c r="C106" s="6" t="n">
        <v>2251</v>
      </c>
      <c r="D106" s="6" t="s">
        <v>344</v>
      </c>
      <c r="E106" s="6" t="n">
        <v>2</v>
      </c>
    </row>
    <row r="107" customFormat="false" ht="15" hidden="false" customHeight="true" outlineLevel="0" collapsed="false">
      <c r="A107" s="6" t="n">
        <v>3666</v>
      </c>
      <c r="B107" s="6" t="s">
        <v>138</v>
      </c>
      <c r="C107" s="6" t="n">
        <v>2692</v>
      </c>
      <c r="D107" s="6" t="s">
        <v>275</v>
      </c>
      <c r="E107" s="6" t="n">
        <v>1</v>
      </c>
    </row>
    <row r="108" customFormat="false" ht="15" hidden="false" customHeight="true" outlineLevel="0" collapsed="false">
      <c r="A108" s="6" t="n">
        <v>5480</v>
      </c>
      <c r="B108" s="6" t="s">
        <v>139</v>
      </c>
      <c r="C108" s="6" t="n">
        <v>5471</v>
      </c>
      <c r="D108" s="6" t="s">
        <v>345</v>
      </c>
      <c r="E108" s="6" t="n">
        <v>1</v>
      </c>
    </row>
    <row r="109" customFormat="false" ht="15" hidden="false" customHeight="true" outlineLevel="0" collapsed="false">
      <c r="A109" s="6" t="n">
        <v>5480</v>
      </c>
      <c r="B109" s="6" t="s">
        <v>139</v>
      </c>
      <c r="C109" s="6" t="n">
        <v>2678</v>
      </c>
      <c r="D109" s="6" t="s">
        <v>271</v>
      </c>
      <c r="E109" s="6" t="n">
        <v>4</v>
      </c>
    </row>
    <row r="110" customFormat="false" ht="15" hidden="false" customHeight="true" outlineLevel="0" collapsed="false">
      <c r="A110" s="6" t="n">
        <v>249867</v>
      </c>
      <c r="B110" s="6" t="s">
        <v>140</v>
      </c>
      <c r="C110" s="6" t="n">
        <v>1205</v>
      </c>
      <c r="D110" s="6" t="s">
        <v>338</v>
      </c>
      <c r="E110" s="6" t="n">
        <v>1</v>
      </c>
    </row>
    <row r="111" customFormat="false" ht="15" hidden="false" customHeight="true" outlineLevel="0" collapsed="false">
      <c r="A111" s="6" t="n">
        <v>249867</v>
      </c>
      <c r="B111" s="6" t="s">
        <v>140</v>
      </c>
      <c r="C111" s="6" t="n">
        <v>3357</v>
      </c>
      <c r="D111" s="6" t="s">
        <v>346</v>
      </c>
      <c r="E111" s="6" t="n">
        <v>2</v>
      </c>
    </row>
    <row r="112" customFormat="false" ht="15" hidden="false" customHeight="true" outlineLevel="0" collapsed="false">
      <c r="A112" s="6" t="n">
        <v>3664</v>
      </c>
      <c r="B112" s="6" t="s">
        <v>142</v>
      </c>
      <c r="C112" s="6" t="n">
        <v>3667</v>
      </c>
      <c r="D112" s="6" t="s">
        <v>274</v>
      </c>
      <c r="E112" s="6" t="n">
        <v>1</v>
      </c>
    </row>
    <row r="113" customFormat="false" ht="15" hidden="false" customHeight="true" outlineLevel="0" collapsed="false">
      <c r="A113" s="6" t="n">
        <v>3664</v>
      </c>
      <c r="B113" s="6" t="s">
        <v>142</v>
      </c>
      <c r="C113" s="6" t="n">
        <v>2692</v>
      </c>
      <c r="D113" s="6" t="s">
        <v>275</v>
      </c>
      <c r="E113" s="6" t="n">
        <v>1</v>
      </c>
    </row>
    <row r="114" customFormat="false" ht="15" hidden="false" customHeight="true" outlineLevel="0" collapsed="false">
      <c r="A114" s="6" t="n">
        <v>20074</v>
      </c>
      <c r="B114" s="6" t="s">
        <v>144</v>
      </c>
      <c r="C114" s="6" t="n">
        <v>3667</v>
      </c>
      <c r="D114" s="6" t="s">
        <v>274</v>
      </c>
      <c r="E114" s="6" t="n">
        <v>2</v>
      </c>
    </row>
    <row r="115" customFormat="false" ht="15" hidden="false" customHeight="true" outlineLevel="0" collapsed="false">
      <c r="A115" s="6" t="n">
        <v>20074</v>
      </c>
      <c r="B115" s="6" t="s">
        <v>144</v>
      </c>
      <c r="C115" s="6" t="n">
        <v>3713</v>
      </c>
      <c r="D115" s="6" t="s">
        <v>277</v>
      </c>
      <c r="E115" s="6" t="n">
        <v>1</v>
      </c>
    </row>
    <row r="116" customFormat="false" ht="15" hidden="false" customHeight="true" outlineLevel="0" collapsed="false">
      <c r="A116" s="6" t="n">
        <v>5527</v>
      </c>
      <c r="B116" s="6" t="s">
        <v>146</v>
      </c>
      <c r="C116" s="6" t="n">
        <v>5504</v>
      </c>
      <c r="D116" s="6" t="s">
        <v>347</v>
      </c>
      <c r="E116" s="6" t="n">
        <v>1</v>
      </c>
    </row>
    <row r="117" customFormat="false" ht="15" hidden="false" customHeight="true" outlineLevel="0" collapsed="false">
      <c r="A117" s="6" t="n">
        <v>5527</v>
      </c>
      <c r="B117" s="6" t="s">
        <v>146</v>
      </c>
      <c r="C117" s="6" t="n">
        <v>2692</v>
      </c>
      <c r="D117" s="6" t="s">
        <v>275</v>
      </c>
      <c r="E117" s="6" t="n">
        <v>1</v>
      </c>
    </row>
    <row r="118" customFormat="false" ht="15" hidden="false" customHeight="true" outlineLevel="0" collapsed="false">
      <c r="A118" s="6" t="n">
        <v>12209</v>
      </c>
      <c r="B118" s="6" t="s">
        <v>148</v>
      </c>
      <c r="C118" s="6" t="n">
        <v>1015</v>
      </c>
      <c r="D118" s="6" t="s">
        <v>148</v>
      </c>
      <c r="E118" s="6" t="n">
        <v>1</v>
      </c>
    </row>
    <row r="119" customFormat="false" ht="15" hidden="false" customHeight="true" outlineLevel="0" collapsed="false">
      <c r="A119" s="6" t="n">
        <v>12209</v>
      </c>
      <c r="B119" s="6" t="s">
        <v>148</v>
      </c>
      <c r="C119" s="6" t="n">
        <v>2678</v>
      </c>
      <c r="D119" s="6" t="s">
        <v>271</v>
      </c>
      <c r="E119" s="6" t="n">
        <v>1</v>
      </c>
    </row>
    <row r="120" customFormat="false" ht="15" hidden="false" customHeight="true" outlineLevel="0" collapsed="false">
      <c r="A120" s="6" t="n">
        <v>3665</v>
      </c>
      <c r="B120" s="6" t="s">
        <v>150</v>
      </c>
      <c r="C120" s="6" t="n">
        <v>3685</v>
      </c>
      <c r="D120" s="6" t="s">
        <v>299</v>
      </c>
      <c r="E120" s="6" t="n">
        <v>1</v>
      </c>
    </row>
    <row r="121" customFormat="false" ht="15" hidden="false" customHeight="true" outlineLevel="0" collapsed="false">
      <c r="A121" s="6" t="n">
        <v>3665</v>
      </c>
      <c r="B121" s="6" t="s">
        <v>150</v>
      </c>
      <c r="C121" s="6" t="n">
        <v>2692</v>
      </c>
      <c r="D121" s="6" t="s">
        <v>275</v>
      </c>
      <c r="E121" s="6" t="n">
        <v>1</v>
      </c>
    </row>
    <row r="122" customFormat="false" ht="15" hidden="false" customHeight="true" outlineLevel="0" collapsed="false">
      <c r="A122" s="6" t="n">
        <v>3727</v>
      </c>
      <c r="B122" s="6" t="s">
        <v>152</v>
      </c>
      <c r="C122" s="6" t="n">
        <v>3731</v>
      </c>
      <c r="D122" s="6" t="s">
        <v>276</v>
      </c>
      <c r="E122" s="6" t="n">
        <v>1</v>
      </c>
    </row>
    <row r="123" customFormat="false" ht="15" hidden="false" customHeight="true" outlineLevel="0" collapsed="false">
      <c r="A123" s="6" t="n">
        <v>3727</v>
      </c>
      <c r="B123" s="6" t="s">
        <v>152</v>
      </c>
      <c r="C123" s="6" t="n">
        <v>2692</v>
      </c>
      <c r="D123" s="6" t="s">
        <v>275</v>
      </c>
      <c r="E123" s="6" t="n">
        <v>1</v>
      </c>
    </row>
    <row r="124" customFormat="false" ht="15" hidden="false" customHeight="true" outlineLevel="0" collapsed="false">
      <c r="A124" s="6" t="n">
        <v>250072</v>
      </c>
      <c r="B124" s="6" t="s">
        <v>154</v>
      </c>
      <c r="C124" s="6" t="n">
        <v>12202</v>
      </c>
      <c r="D124" s="6" t="s">
        <v>348</v>
      </c>
      <c r="E124" s="6" t="n">
        <v>3</v>
      </c>
    </row>
    <row r="125" customFormat="false" ht="15" hidden="false" customHeight="true" outlineLevel="0" collapsed="false">
      <c r="A125" s="6" t="n">
        <v>250072</v>
      </c>
      <c r="B125" s="6" t="s">
        <v>154</v>
      </c>
      <c r="C125" s="6" t="n">
        <v>3713</v>
      </c>
      <c r="D125" s="6" t="s">
        <v>277</v>
      </c>
      <c r="E125" s="6" t="n">
        <v>2</v>
      </c>
    </row>
    <row r="126" customFormat="false" ht="15" hidden="false" customHeight="true" outlineLevel="0" collapsed="false">
      <c r="A126" s="6" t="n">
        <v>249874</v>
      </c>
      <c r="B126" s="6" t="s">
        <v>156</v>
      </c>
      <c r="C126" s="6" t="n">
        <v>1708</v>
      </c>
      <c r="D126" s="6" t="s">
        <v>349</v>
      </c>
      <c r="E126" s="6" t="n">
        <v>1</v>
      </c>
    </row>
    <row r="127" customFormat="false" ht="15" hidden="false" customHeight="true" outlineLevel="0" collapsed="false">
      <c r="A127" s="6" t="n">
        <v>249874</v>
      </c>
      <c r="B127" s="6" t="s">
        <v>156</v>
      </c>
      <c r="C127" s="6" t="n">
        <v>2692</v>
      </c>
      <c r="D127" s="6" t="s">
        <v>275</v>
      </c>
      <c r="E127" s="6" t="n">
        <v>3</v>
      </c>
    </row>
    <row r="128" customFormat="false" ht="15" hidden="false" customHeight="true" outlineLevel="0" collapsed="false">
      <c r="A128" s="6" t="n">
        <v>249874</v>
      </c>
      <c r="B128" s="6" t="s">
        <v>156</v>
      </c>
      <c r="C128" s="6" t="n">
        <v>5637</v>
      </c>
      <c r="D128" s="6" t="s">
        <v>350</v>
      </c>
      <c r="E128" s="6" t="n">
        <v>1</v>
      </c>
    </row>
    <row r="129" customFormat="false" ht="15" hidden="false" customHeight="true" outlineLevel="0" collapsed="false">
      <c r="A129" s="6" t="n">
        <v>250073</v>
      </c>
      <c r="B129" s="6" t="s">
        <v>158</v>
      </c>
      <c r="C129" s="6" t="n">
        <v>12184</v>
      </c>
      <c r="D129" s="6" t="s">
        <v>326</v>
      </c>
      <c r="E129" s="6" t="n">
        <v>2</v>
      </c>
    </row>
    <row r="130" customFormat="false" ht="15" hidden="false" customHeight="true" outlineLevel="0" collapsed="false">
      <c r="A130" s="6" t="n">
        <v>250073</v>
      </c>
      <c r="B130" s="6" t="s">
        <v>158</v>
      </c>
      <c r="C130" s="6" t="n">
        <v>2692</v>
      </c>
      <c r="D130" s="6" t="s">
        <v>275</v>
      </c>
      <c r="E130" s="6" t="n">
        <v>3</v>
      </c>
    </row>
    <row r="131" customFormat="false" ht="15" hidden="false" customHeight="true" outlineLevel="0" collapsed="false">
      <c r="A131" s="6" t="n">
        <v>3728</v>
      </c>
      <c r="B131" s="6" t="s">
        <v>160</v>
      </c>
      <c r="C131" s="6" t="n">
        <v>3731</v>
      </c>
      <c r="D131" s="6" t="s">
        <v>276</v>
      </c>
      <c r="E131" s="6" t="n">
        <v>2</v>
      </c>
    </row>
    <row r="132" customFormat="false" ht="15" hidden="false" customHeight="true" outlineLevel="0" collapsed="false">
      <c r="A132" s="6" t="n">
        <v>3728</v>
      </c>
      <c r="B132" s="6" t="s">
        <v>160</v>
      </c>
      <c r="C132" s="6" t="n">
        <v>3713</v>
      </c>
      <c r="D132" s="6" t="s">
        <v>277</v>
      </c>
      <c r="E132" s="6" t="n">
        <v>1</v>
      </c>
    </row>
    <row r="133" customFormat="false" ht="15" hidden="false" customHeight="true" outlineLevel="0" collapsed="false">
      <c r="A133" s="6" t="n">
        <v>4594</v>
      </c>
      <c r="B133" s="6" t="s">
        <v>162</v>
      </c>
      <c r="C133" s="6" t="n">
        <v>6362</v>
      </c>
      <c r="D133" s="6" t="s">
        <v>351</v>
      </c>
      <c r="E133" s="6" t="n">
        <v>1</v>
      </c>
    </row>
    <row r="134" customFormat="false" ht="15" hidden="false" customHeight="true" outlineLevel="0" collapsed="false">
      <c r="A134" s="6" t="n">
        <v>250078</v>
      </c>
      <c r="B134" s="6" t="s">
        <v>164</v>
      </c>
      <c r="C134" s="6" t="n">
        <v>12207</v>
      </c>
      <c r="D134" s="6" t="s">
        <v>352</v>
      </c>
      <c r="E134" s="6" t="n">
        <v>2</v>
      </c>
    </row>
    <row r="135" customFormat="false" ht="15" hidden="false" customHeight="true" outlineLevel="0" collapsed="false">
      <c r="A135" s="6" t="n">
        <v>250078</v>
      </c>
      <c r="B135" s="6" t="s">
        <v>164</v>
      </c>
      <c r="C135" s="6" t="n">
        <v>2692</v>
      </c>
      <c r="D135" s="6" t="s">
        <v>275</v>
      </c>
      <c r="E135" s="6" t="n">
        <v>4</v>
      </c>
    </row>
    <row r="136" customFormat="false" ht="15" hidden="false" customHeight="true" outlineLevel="0" collapsed="false">
      <c r="A136" s="6" t="n">
        <v>249868</v>
      </c>
      <c r="B136" s="6" t="s">
        <v>166</v>
      </c>
      <c r="C136" s="6" t="n">
        <v>1708</v>
      </c>
      <c r="D136" s="6" t="s">
        <v>349</v>
      </c>
      <c r="E136" s="6" t="n">
        <v>1</v>
      </c>
    </row>
    <row r="137" customFormat="false" ht="15" hidden="false" customHeight="true" outlineLevel="0" collapsed="false">
      <c r="A137" s="6" t="n">
        <v>249868</v>
      </c>
      <c r="B137" s="6" t="s">
        <v>166</v>
      </c>
      <c r="C137" s="6" t="n">
        <v>3818</v>
      </c>
      <c r="D137" s="6" t="s">
        <v>353</v>
      </c>
      <c r="E137" s="6" t="n">
        <v>2</v>
      </c>
    </row>
    <row r="138" customFormat="false" ht="15" hidden="false" customHeight="true" outlineLevel="0" collapsed="false">
      <c r="A138" s="6" t="n">
        <v>250074</v>
      </c>
      <c r="B138" s="6" t="s">
        <v>168</v>
      </c>
      <c r="C138" s="6" t="n">
        <v>3730</v>
      </c>
      <c r="D138" s="6" t="s">
        <v>343</v>
      </c>
      <c r="E138" s="6" t="n">
        <v>2</v>
      </c>
    </row>
    <row r="139" customFormat="false" ht="15" hidden="false" customHeight="true" outlineLevel="0" collapsed="false">
      <c r="A139" s="6" t="n">
        <v>250074</v>
      </c>
      <c r="B139" s="6" t="s">
        <v>168</v>
      </c>
      <c r="C139" s="6" t="n">
        <v>2692</v>
      </c>
      <c r="D139" s="6" t="s">
        <v>275</v>
      </c>
      <c r="E139" s="6" t="n">
        <v>3</v>
      </c>
    </row>
    <row r="140" customFormat="false" ht="15" hidden="false" customHeight="true" outlineLevel="0" collapsed="false">
      <c r="A140" s="6" t="n">
        <v>274976</v>
      </c>
      <c r="B140" s="6" t="s">
        <v>170</v>
      </c>
      <c r="C140" s="6" t="n">
        <v>769</v>
      </c>
      <c r="D140" s="6" t="s">
        <v>278</v>
      </c>
      <c r="E140" s="6" t="n">
        <v>2</v>
      </c>
    </row>
    <row r="141" customFormat="false" ht="15" hidden="false" customHeight="true" outlineLevel="0" collapsed="false">
      <c r="A141" s="6" t="n">
        <v>274976</v>
      </c>
      <c r="B141" s="6" t="s">
        <v>170</v>
      </c>
      <c r="C141" s="6" t="n">
        <v>2678</v>
      </c>
      <c r="D141" s="6" t="s">
        <v>271</v>
      </c>
      <c r="E141" s="6" t="n">
        <v>1</v>
      </c>
    </row>
    <row r="142" customFormat="false" ht="15" hidden="false" customHeight="true" outlineLevel="0" collapsed="false">
      <c r="A142" s="6" t="n">
        <v>279974</v>
      </c>
      <c r="B142" s="6" t="s">
        <v>172</v>
      </c>
      <c r="C142" s="6" t="n">
        <v>272941</v>
      </c>
      <c r="D142" s="6" t="s">
        <v>354</v>
      </c>
      <c r="E142" s="6" t="n">
        <v>1</v>
      </c>
    </row>
    <row r="143" customFormat="false" ht="15" hidden="false" customHeight="true" outlineLevel="0" collapsed="false">
      <c r="A143" s="6" t="n">
        <v>250081</v>
      </c>
      <c r="B143" s="6" t="s">
        <v>174</v>
      </c>
      <c r="C143" s="6" t="n">
        <v>7974</v>
      </c>
      <c r="D143" s="6" t="s">
        <v>355</v>
      </c>
      <c r="E143" s="6" t="n">
        <v>3</v>
      </c>
    </row>
    <row r="144" customFormat="false" ht="15" hidden="false" customHeight="true" outlineLevel="0" collapsed="false">
      <c r="A144" s="6" t="n">
        <v>250081</v>
      </c>
      <c r="B144" s="6" t="s">
        <v>174</v>
      </c>
      <c r="C144" s="6" t="n">
        <v>3713</v>
      </c>
      <c r="D144" s="6" t="s">
        <v>277</v>
      </c>
      <c r="E144" s="6" t="n">
        <v>4</v>
      </c>
    </row>
    <row r="145" customFormat="false" ht="15" hidden="false" customHeight="true" outlineLevel="0" collapsed="false">
      <c r="A145" s="6" t="n">
        <v>8957</v>
      </c>
      <c r="B145" s="6" t="s">
        <v>176</v>
      </c>
      <c r="C145" s="6" t="n">
        <v>8959</v>
      </c>
      <c r="D145" s="6" t="s">
        <v>356</v>
      </c>
      <c r="E145" s="6" t="n">
        <v>1</v>
      </c>
    </row>
    <row r="146" customFormat="false" ht="15" hidden="false" customHeight="true" outlineLevel="0" collapsed="false">
      <c r="A146" s="6" t="n">
        <v>10841</v>
      </c>
      <c r="B146" s="6" t="s">
        <v>178</v>
      </c>
      <c r="C146" s="6" t="n">
        <v>3821</v>
      </c>
      <c r="D146" s="6" t="s">
        <v>357</v>
      </c>
      <c r="E146" s="6" t="n">
        <v>1</v>
      </c>
    </row>
    <row r="147" customFormat="false" ht="15" hidden="false" customHeight="true" outlineLevel="0" collapsed="false">
      <c r="A147" s="6" t="n">
        <v>10841</v>
      </c>
      <c r="B147" s="6" t="s">
        <v>178</v>
      </c>
      <c r="C147" s="6" t="n">
        <v>159</v>
      </c>
      <c r="D147" s="6" t="s">
        <v>293</v>
      </c>
      <c r="E147" s="6" t="n">
        <v>1</v>
      </c>
    </row>
    <row r="148" customFormat="false" ht="15" hidden="false" customHeight="true" outlineLevel="0" collapsed="false">
      <c r="A148" s="6" t="n">
        <v>4457</v>
      </c>
      <c r="B148" s="6" t="s">
        <v>180</v>
      </c>
      <c r="C148" s="6" t="n">
        <v>3404</v>
      </c>
      <c r="D148" s="6" t="s">
        <v>358</v>
      </c>
      <c r="E148" s="6" t="n">
        <v>1</v>
      </c>
    </row>
    <row r="149" customFormat="false" ht="15" hidden="false" customHeight="true" outlineLevel="0" collapsed="false">
      <c r="A149" s="6" t="n">
        <v>4457</v>
      </c>
      <c r="B149" s="6" t="s">
        <v>180</v>
      </c>
      <c r="C149" s="6" t="n">
        <v>2692</v>
      </c>
      <c r="D149" s="6" t="s">
        <v>275</v>
      </c>
      <c r="E149" s="6" t="n">
        <v>1</v>
      </c>
    </row>
    <row r="150" customFormat="false" ht="15" hidden="false" customHeight="true" outlineLevel="0" collapsed="false">
      <c r="A150" s="6" t="n">
        <v>6038</v>
      </c>
      <c r="B150" s="6" t="s">
        <v>182</v>
      </c>
      <c r="C150" s="6" t="n">
        <v>4655</v>
      </c>
      <c r="D150" s="6" t="s">
        <v>359</v>
      </c>
      <c r="E150" s="6" t="n">
        <v>1</v>
      </c>
    </row>
    <row r="151" customFormat="false" ht="15" hidden="false" customHeight="true" outlineLevel="0" collapsed="false">
      <c r="A151" s="6" t="n">
        <v>6038</v>
      </c>
      <c r="B151" s="6" t="s">
        <v>182</v>
      </c>
      <c r="C151" s="6" t="n">
        <v>2692</v>
      </c>
      <c r="D151" s="6" t="s">
        <v>275</v>
      </c>
      <c r="E151" s="6" t="n">
        <v>1</v>
      </c>
    </row>
    <row r="152" customFormat="false" ht="15" hidden="false" customHeight="true" outlineLevel="0" collapsed="false">
      <c r="A152" s="6" t="n">
        <v>3729</v>
      </c>
      <c r="B152" s="6" t="s">
        <v>183</v>
      </c>
      <c r="C152" s="6" t="n">
        <v>3712</v>
      </c>
      <c r="D152" s="6" t="s">
        <v>360</v>
      </c>
      <c r="E152" s="6" t="n">
        <v>1</v>
      </c>
    </row>
    <row r="153" customFormat="false" ht="15" hidden="false" customHeight="true" outlineLevel="0" collapsed="false">
      <c r="A153" s="6" t="n">
        <v>3729</v>
      </c>
      <c r="B153" s="6" t="s">
        <v>183</v>
      </c>
      <c r="C153" s="6" t="n">
        <v>3713</v>
      </c>
      <c r="D153" s="6" t="s">
        <v>277</v>
      </c>
      <c r="E153" s="6" t="n">
        <v>1</v>
      </c>
    </row>
    <row r="154" customFormat="false" ht="15" hidden="false" customHeight="true" outlineLevel="0" collapsed="false">
      <c r="A154" s="6" t="n">
        <v>13851</v>
      </c>
      <c r="B154" s="6" t="s">
        <v>184</v>
      </c>
      <c r="C154" s="6" t="n">
        <v>12203</v>
      </c>
      <c r="D154" s="6" t="s">
        <v>361</v>
      </c>
      <c r="E154" s="6" t="n">
        <v>1</v>
      </c>
    </row>
    <row r="155" customFormat="false" ht="15" hidden="false" customHeight="true" outlineLevel="0" collapsed="false">
      <c r="A155" s="6" t="n">
        <v>13851</v>
      </c>
      <c r="B155" s="6" t="s">
        <v>184</v>
      </c>
      <c r="C155" s="6" t="n">
        <v>2692</v>
      </c>
      <c r="D155" s="6" t="s">
        <v>275</v>
      </c>
      <c r="E155" s="6" t="n">
        <v>1</v>
      </c>
    </row>
    <row r="156" customFormat="false" ht="15" hidden="false" customHeight="true" outlineLevel="0" collapsed="false">
      <c r="A156" s="6" t="n">
        <v>21217</v>
      </c>
      <c r="B156" s="6" t="s">
        <v>185</v>
      </c>
      <c r="C156" s="6" t="n">
        <v>21153</v>
      </c>
      <c r="D156" s="6" t="s">
        <v>362</v>
      </c>
      <c r="E156" s="6" t="n">
        <v>1</v>
      </c>
    </row>
    <row r="157" customFormat="false" ht="15" hidden="false" customHeight="true" outlineLevel="0" collapsed="false">
      <c r="A157" s="6" t="n">
        <v>21217</v>
      </c>
      <c r="B157" s="6" t="s">
        <v>185</v>
      </c>
      <c r="C157" s="6" t="n">
        <v>2692</v>
      </c>
      <c r="D157" s="6" t="s">
        <v>275</v>
      </c>
      <c r="E157" s="6" t="n">
        <v>1</v>
      </c>
    </row>
    <row r="158" customFormat="false" ht="15" hidden="false" customHeight="true" outlineLevel="0" collapsed="false">
      <c r="A158" s="6" t="n">
        <v>12212</v>
      </c>
      <c r="B158" s="6" t="s">
        <v>186</v>
      </c>
      <c r="C158" s="6" t="n">
        <v>12202</v>
      </c>
      <c r="D158" s="6" t="s">
        <v>348</v>
      </c>
      <c r="E158" s="6" t="n">
        <v>1</v>
      </c>
    </row>
    <row r="159" customFormat="false" ht="15" hidden="false" customHeight="true" outlineLevel="0" collapsed="false">
      <c r="A159" s="6" t="n">
        <v>12212</v>
      </c>
      <c r="B159" s="6" t="s">
        <v>186</v>
      </c>
      <c r="C159" s="6" t="n">
        <v>159</v>
      </c>
      <c r="D159" s="6" t="s">
        <v>293</v>
      </c>
      <c r="E159" s="6" t="n">
        <v>1</v>
      </c>
    </row>
    <row r="160" customFormat="false" ht="15" hidden="false" customHeight="true" outlineLevel="0" collapsed="false">
      <c r="A160" s="6" t="n">
        <v>12212</v>
      </c>
      <c r="B160" s="6" t="s">
        <v>186</v>
      </c>
      <c r="C160" s="6" t="n">
        <v>4536</v>
      </c>
      <c r="D160" s="6" t="s">
        <v>316</v>
      </c>
      <c r="E160" s="6" t="n">
        <v>2</v>
      </c>
    </row>
    <row r="161" customFormat="false" ht="15" hidden="false" customHeight="true" outlineLevel="0" collapsed="false">
      <c r="A161" s="6" t="n">
        <v>12214</v>
      </c>
      <c r="B161" s="6" t="s">
        <v>187</v>
      </c>
      <c r="C161" s="6" t="n">
        <v>12037</v>
      </c>
      <c r="D161" s="6" t="s">
        <v>341</v>
      </c>
      <c r="E161" s="6" t="n">
        <v>1</v>
      </c>
    </row>
    <row r="162" customFormat="false" ht="15" hidden="false" customHeight="true" outlineLevel="0" collapsed="false">
      <c r="A162" s="6" t="n">
        <v>12214</v>
      </c>
      <c r="B162" s="6" t="s">
        <v>187</v>
      </c>
      <c r="C162" s="6" t="n">
        <v>2596</v>
      </c>
      <c r="D162" s="6" t="s">
        <v>363</v>
      </c>
      <c r="E162" s="6" t="n">
        <v>1</v>
      </c>
    </row>
    <row r="163" customFormat="false" ht="15" hidden="false" customHeight="true" outlineLevel="0" collapsed="false">
      <c r="A163" s="6" t="n">
        <v>12210</v>
      </c>
      <c r="B163" s="6" t="s">
        <v>188</v>
      </c>
      <c r="C163" s="6" t="n">
        <v>12184</v>
      </c>
      <c r="D163" s="6" t="s">
        <v>326</v>
      </c>
      <c r="E163" s="6" t="n">
        <v>1</v>
      </c>
    </row>
    <row r="164" customFormat="false" ht="15" hidden="false" customHeight="true" outlineLevel="0" collapsed="false">
      <c r="A164" s="6" t="n">
        <v>12210</v>
      </c>
      <c r="B164" s="6" t="s">
        <v>188</v>
      </c>
      <c r="C164" s="6" t="n">
        <v>2692</v>
      </c>
      <c r="D164" s="6" t="s">
        <v>275</v>
      </c>
      <c r="E164" s="6" t="n">
        <v>1</v>
      </c>
    </row>
    <row r="165" customFormat="false" ht="15" hidden="false" customHeight="true" outlineLevel="0" collapsed="false">
      <c r="A165" s="6" t="n">
        <v>12213</v>
      </c>
      <c r="B165" s="6" t="s">
        <v>189</v>
      </c>
      <c r="C165" s="6" t="n">
        <v>12037</v>
      </c>
      <c r="D165" s="6" t="s">
        <v>341</v>
      </c>
      <c r="E165" s="6" t="n">
        <v>1</v>
      </c>
    </row>
    <row r="166" customFormat="false" ht="15" hidden="false" customHeight="true" outlineLevel="0" collapsed="false">
      <c r="A166" s="6" t="n">
        <v>12213</v>
      </c>
      <c r="B166" s="6" t="s">
        <v>189</v>
      </c>
      <c r="C166" s="6" t="n">
        <v>2692</v>
      </c>
      <c r="D166" s="6" t="s">
        <v>275</v>
      </c>
      <c r="E166" s="6" t="n">
        <v>1</v>
      </c>
    </row>
    <row r="167" customFormat="false" ht="15" hidden="false" customHeight="true" outlineLevel="0" collapsed="false">
      <c r="A167" s="6" t="n">
        <v>8364</v>
      </c>
      <c r="B167" s="6" t="s">
        <v>190</v>
      </c>
      <c r="C167" s="6" t="n">
        <v>8365</v>
      </c>
      <c r="D167" s="6" t="s">
        <v>364</v>
      </c>
      <c r="E167" s="6" t="n">
        <v>1</v>
      </c>
    </row>
    <row r="168" customFormat="false" ht="15" hidden="false" customHeight="true" outlineLevel="0" collapsed="false">
      <c r="A168" s="6" t="n">
        <v>249875</v>
      </c>
      <c r="B168" s="6" t="s">
        <v>191</v>
      </c>
      <c r="C168" s="6" t="n">
        <v>1645</v>
      </c>
      <c r="D168" s="6" t="s">
        <v>365</v>
      </c>
      <c r="E168" s="6" t="n">
        <v>1</v>
      </c>
    </row>
    <row r="169" customFormat="false" ht="15" hidden="false" customHeight="true" outlineLevel="0" collapsed="false">
      <c r="A169" s="6" t="n">
        <v>249875</v>
      </c>
      <c r="B169" s="6" t="s">
        <v>191</v>
      </c>
      <c r="C169" s="6" t="n">
        <v>3713</v>
      </c>
      <c r="D169" s="6" t="s">
        <v>277</v>
      </c>
      <c r="E169" s="6" t="n">
        <v>3</v>
      </c>
    </row>
    <row r="170" customFormat="false" ht="15" hidden="false" customHeight="true" outlineLevel="0" collapsed="false">
      <c r="A170" s="6" t="n">
        <v>249875</v>
      </c>
      <c r="B170" s="6" t="s">
        <v>191</v>
      </c>
      <c r="C170" s="6" t="n">
        <v>4402</v>
      </c>
      <c r="D170" s="6" t="s">
        <v>366</v>
      </c>
      <c r="E170" s="6" t="n">
        <v>1</v>
      </c>
    </row>
    <row r="171" customFormat="false" ht="15" hidden="false" customHeight="true" outlineLevel="0" collapsed="false">
      <c r="A171" s="6" t="n">
        <v>274971</v>
      </c>
      <c r="B171" s="6" t="s">
        <v>193</v>
      </c>
      <c r="C171" s="6" t="n">
        <v>730</v>
      </c>
      <c r="D171" s="6" t="s">
        <v>328</v>
      </c>
      <c r="E171" s="6" t="n">
        <v>2</v>
      </c>
    </row>
    <row r="172" customFormat="false" ht="15" hidden="false" customHeight="true" outlineLevel="0" collapsed="false">
      <c r="A172" s="6" t="n">
        <v>274971</v>
      </c>
      <c r="B172" s="6" t="s">
        <v>193</v>
      </c>
      <c r="C172" s="6" t="n">
        <v>12206</v>
      </c>
      <c r="D172" s="6" t="s">
        <v>367</v>
      </c>
      <c r="E172" s="6" t="n">
        <v>1</v>
      </c>
    </row>
    <row r="173" customFormat="false" ht="15" hidden="false" customHeight="true" outlineLevel="0" collapsed="false">
      <c r="A173" s="6" t="n">
        <v>274971</v>
      </c>
      <c r="B173" s="6" t="s">
        <v>193</v>
      </c>
      <c r="C173" s="6" t="n">
        <v>2692</v>
      </c>
      <c r="D173" s="6" t="s">
        <v>275</v>
      </c>
      <c r="E173" s="6" t="n">
        <v>1</v>
      </c>
    </row>
    <row r="174" customFormat="false" ht="15" hidden="false" customHeight="true" outlineLevel="0" collapsed="false">
      <c r="A174" s="6" t="n">
        <v>249869</v>
      </c>
      <c r="B174" s="6" t="s">
        <v>195</v>
      </c>
      <c r="C174" s="6" t="n">
        <v>1645</v>
      </c>
      <c r="D174" s="6" t="s">
        <v>365</v>
      </c>
      <c r="E174" s="6" t="n">
        <v>1</v>
      </c>
    </row>
    <row r="175" customFormat="false" ht="15" hidden="false" customHeight="true" outlineLevel="0" collapsed="false">
      <c r="A175" s="6" t="n">
        <v>249869</v>
      </c>
      <c r="B175" s="6" t="s">
        <v>195</v>
      </c>
      <c r="C175" s="6" t="n">
        <v>8838</v>
      </c>
      <c r="D175" s="6" t="s">
        <v>368</v>
      </c>
      <c r="E175" s="6" t="n">
        <v>2</v>
      </c>
    </row>
    <row r="176" customFormat="false" ht="15" hidden="false" customHeight="true" outlineLevel="0" collapsed="false">
      <c r="A176" s="6" t="n">
        <v>250065</v>
      </c>
      <c r="B176" s="6" t="s">
        <v>197</v>
      </c>
      <c r="C176" s="6" t="n">
        <v>5471</v>
      </c>
      <c r="D176" s="6" t="s">
        <v>345</v>
      </c>
      <c r="E176" s="6" t="n">
        <v>2</v>
      </c>
    </row>
    <row r="177" customFormat="false" ht="15" hidden="false" customHeight="true" outlineLevel="0" collapsed="false">
      <c r="A177" s="6" t="n">
        <v>250065</v>
      </c>
      <c r="B177" s="6" t="s">
        <v>197</v>
      </c>
      <c r="C177" s="6" t="n">
        <v>2692</v>
      </c>
      <c r="D177" s="6" t="s">
        <v>275</v>
      </c>
      <c r="E177" s="6" t="n">
        <v>3</v>
      </c>
    </row>
    <row r="178" customFormat="false" ht="15" hidden="false" customHeight="true" outlineLevel="0" collapsed="false">
      <c r="A178" s="6" t="n">
        <v>250076</v>
      </c>
      <c r="B178" s="6" t="s">
        <v>199</v>
      </c>
      <c r="C178" s="6" t="n">
        <v>12184</v>
      </c>
      <c r="D178" s="6" t="s">
        <v>326</v>
      </c>
      <c r="E178" s="6" t="n">
        <v>2</v>
      </c>
    </row>
    <row r="179" customFormat="false" ht="15" hidden="false" customHeight="true" outlineLevel="0" collapsed="false">
      <c r="A179" s="6" t="n">
        <v>250076</v>
      </c>
      <c r="B179" s="6" t="s">
        <v>199</v>
      </c>
      <c r="C179" s="6" t="n">
        <v>2692</v>
      </c>
      <c r="D179" s="6" t="s">
        <v>275</v>
      </c>
      <c r="E179" s="6" t="n">
        <v>4</v>
      </c>
    </row>
    <row r="180" customFormat="false" ht="15" hidden="false" customHeight="true" outlineLevel="0" collapsed="false">
      <c r="A180" s="6" t="n">
        <v>17222</v>
      </c>
      <c r="B180" s="6" t="s">
        <v>201</v>
      </c>
      <c r="C180" s="6" t="n">
        <v>12205</v>
      </c>
      <c r="D180" s="6" t="s">
        <v>279</v>
      </c>
      <c r="E180" s="6" t="n">
        <v>2</v>
      </c>
    </row>
    <row r="181" customFormat="false" ht="15" hidden="false" customHeight="true" outlineLevel="0" collapsed="false">
      <c r="A181" s="6" t="n">
        <v>12217</v>
      </c>
      <c r="B181" s="6" t="s">
        <v>203</v>
      </c>
      <c r="C181" s="6" t="n">
        <v>12037</v>
      </c>
      <c r="D181" s="6" t="s">
        <v>341</v>
      </c>
      <c r="E181" s="6" t="n">
        <v>1</v>
      </c>
    </row>
    <row r="182" customFormat="false" ht="15" hidden="false" customHeight="true" outlineLevel="0" collapsed="false">
      <c r="A182" s="6" t="n">
        <v>12217</v>
      </c>
      <c r="B182" s="6" t="s">
        <v>203</v>
      </c>
      <c r="C182" s="6" t="n">
        <v>4402</v>
      </c>
      <c r="D182" s="6" t="s">
        <v>366</v>
      </c>
      <c r="E182" s="6" t="n">
        <v>1</v>
      </c>
    </row>
    <row r="183" customFormat="false" ht="15" hidden="false" customHeight="true" outlineLevel="0" collapsed="false">
      <c r="A183" s="6" t="n">
        <v>12217</v>
      </c>
      <c r="B183" s="6" t="s">
        <v>203</v>
      </c>
      <c r="C183" s="6" t="n">
        <v>2692</v>
      </c>
      <c r="D183" s="6" t="s">
        <v>275</v>
      </c>
      <c r="E183" s="6" t="n">
        <v>1</v>
      </c>
    </row>
    <row r="184" customFormat="false" ht="15" hidden="false" customHeight="true" outlineLevel="0" collapsed="false">
      <c r="A184" s="6" t="n">
        <v>12215</v>
      </c>
      <c r="B184" s="6" t="s">
        <v>205</v>
      </c>
      <c r="C184" s="6" t="n">
        <v>12204</v>
      </c>
      <c r="D184" s="6" t="s">
        <v>342</v>
      </c>
      <c r="E184" s="6" t="n">
        <v>2</v>
      </c>
    </row>
    <row r="185" customFormat="false" ht="15" hidden="false" customHeight="true" outlineLevel="0" collapsed="false">
      <c r="A185" s="6" t="n">
        <v>12215</v>
      </c>
      <c r="B185" s="6" t="s">
        <v>205</v>
      </c>
      <c r="C185" s="6" t="n">
        <v>3713</v>
      </c>
      <c r="D185" s="6" t="s">
        <v>277</v>
      </c>
      <c r="E185" s="6" t="n">
        <v>1</v>
      </c>
    </row>
    <row r="186" customFormat="false" ht="15" hidden="false" customHeight="true" outlineLevel="0" collapsed="false">
      <c r="A186" s="6" t="n">
        <v>12215</v>
      </c>
      <c r="B186" s="6" t="s">
        <v>205</v>
      </c>
      <c r="C186" s="6" t="n">
        <v>159</v>
      </c>
      <c r="D186" s="6" t="s">
        <v>293</v>
      </c>
      <c r="E186" s="6" t="n">
        <v>1</v>
      </c>
    </row>
    <row r="187" customFormat="false" ht="15" hidden="false" customHeight="true" outlineLevel="0" collapsed="false">
      <c r="A187" s="6" t="n">
        <v>249876</v>
      </c>
      <c r="B187" s="6" t="s">
        <v>206</v>
      </c>
      <c r="C187" s="6" t="n">
        <v>8766</v>
      </c>
      <c r="D187" s="6" t="s">
        <v>369</v>
      </c>
      <c r="E187" s="6" t="n">
        <v>1</v>
      </c>
    </row>
    <row r="188" customFormat="false" ht="15" hidden="false" customHeight="true" outlineLevel="0" collapsed="false">
      <c r="A188" s="6" t="n">
        <v>249876</v>
      </c>
      <c r="B188" s="6" t="s">
        <v>206</v>
      </c>
      <c r="C188" s="6" t="n">
        <v>3713</v>
      </c>
      <c r="D188" s="6" t="s">
        <v>277</v>
      </c>
      <c r="E188" s="6" t="n">
        <v>4</v>
      </c>
    </row>
    <row r="189" customFormat="false" ht="15" hidden="false" customHeight="true" outlineLevel="0" collapsed="false">
      <c r="A189" s="6" t="n">
        <v>249876</v>
      </c>
      <c r="B189" s="6" t="s">
        <v>206</v>
      </c>
      <c r="C189" s="6" t="n">
        <v>8146</v>
      </c>
      <c r="D189" s="6" t="s">
        <v>370</v>
      </c>
      <c r="E189" s="6" t="n">
        <v>1</v>
      </c>
    </row>
    <row r="190" customFormat="false" ht="15" hidden="false" customHeight="true" outlineLevel="0" collapsed="false">
      <c r="A190" s="6" t="n">
        <v>286152</v>
      </c>
      <c r="B190" s="6" t="s">
        <v>208</v>
      </c>
      <c r="C190" s="6" t="n">
        <v>13890</v>
      </c>
      <c r="D190" s="6" t="s">
        <v>371</v>
      </c>
      <c r="E190" s="6" t="n">
        <v>1</v>
      </c>
    </row>
    <row r="191" customFormat="false" ht="15" hidden="false" customHeight="true" outlineLevel="0" collapsed="false">
      <c r="A191" s="6" t="n">
        <v>286152</v>
      </c>
      <c r="B191" s="6" t="s">
        <v>208</v>
      </c>
      <c r="C191" s="6" t="n">
        <v>3713</v>
      </c>
      <c r="D191" s="6" t="s">
        <v>277</v>
      </c>
      <c r="E191" s="6" t="n">
        <v>1</v>
      </c>
    </row>
    <row r="192" customFormat="false" ht="15" hidden="false" customHeight="true" outlineLevel="0" collapsed="false">
      <c r="A192" s="6" t="n">
        <v>238638</v>
      </c>
      <c r="B192" s="6" t="s">
        <v>210</v>
      </c>
      <c r="C192" s="6" t="n">
        <v>12203</v>
      </c>
      <c r="D192" s="6" t="s">
        <v>361</v>
      </c>
      <c r="E192" s="6" t="n">
        <v>2</v>
      </c>
    </row>
    <row r="193" customFormat="false" ht="15" hidden="false" customHeight="true" outlineLevel="0" collapsed="false">
      <c r="A193" s="6" t="n">
        <v>238638</v>
      </c>
      <c r="B193" s="6" t="s">
        <v>210</v>
      </c>
      <c r="C193" s="6" t="n">
        <v>239016</v>
      </c>
      <c r="D193" s="6" t="s">
        <v>372</v>
      </c>
      <c r="E193" s="6" t="n">
        <v>1</v>
      </c>
    </row>
    <row r="194" customFormat="false" ht="15" hidden="false" customHeight="true" outlineLevel="0" collapsed="false">
      <c r="A194" s="6" t="n">
        <v>238639</v>
      </c>
      <c r="B194" s="6" t="s">
        <v>212</v>
      </c>
      <c r="C194" s="6" t="n">
        <v>12207</v>
      </c>
      <c r="D194" s="6" t="s">
        <v>352</v>
      </c>
      <c r="E194" s="6" t="n">
        <v>2</v>
      </c>
    </row>
    <row r="195" customFormat="false" ht="15" hidden="false" customHeight="true" outlineLevel="0" collapsed="false">
      <c r="A195" s="6" t="n">
        <v>238639</v>
      </c>
      <c r="B195" s="6" t="s">
        <v>212</v>
      </c>
      <c r="C195" s="6" t="n">
        <v>239016</v>
      </c>
      <c r="D195" s="6" t="s">
        <v>372</v>
      </c>
      <c r="E195" s="6" t="n">
        <v>1</v>
      </c>
    </row>
    <row r="196" customFormat="false" ht="15" hidden="false" customHeight="true" outlineLevel="0" collapsed="false">
      <c r="A196" s="6" t="n">
        <v>238637</v>
      </c>
      <c r="B196" s="6" t="s">
        <v>213</v>
      </c>
      <c r="C196" s="6" t="n">
        <v>12202</v>
      </c>
      <c r="D196" s="6" t="s">
        <v>348</v>
      </c>
      <c r="E196" s="6" t="n">
        <v>2</v>
      </c>
    </row>
    <row r="197" customFormat="false" ht="15" hidden="false" customHeight="true" outlineLevel="0" collapsed="false">
      <c r="A197" s="6" t="n">
        <v>238637</v>
      </c>
      <c r="B197" s="6" t="s">
        <v>213</v>
      </c>
      <c r="C197" s="6" t="n">
        <v>239016</v>
      </c>
      <c r="D197" s="6" t="s">
        <v>372</v>
      </c>
      <c r="E197" s="6" t="n">
        <v>1</v>
      </c>
    </row>
    <row r="198" customFormat="false" ht="15" hidden="false" customHeight="true" outlineLevel="0" collapsed="false">
      <c r="A198" s="6" t="n">
        <v>249870</v>
      </c>
      <c r="B198" s="6" t="s">
        <v>214</v>
      </c>
      <c r="C198" s="6" t="n">
        <v>8766</v>
      </c>
      <c r="D198" s="6" t="s">
        <v>369</v>
      </c>
      <c r="E198" s="6" t="n">
        <v>1</v>
      </c>
    </row>
    <row r="199" customFormat="false" ht="15" hidden="false" customHeight="true" outlineLevel="0" collapsed="false">
      <c r="A199" s="6" t="n">
        <v>249870</v>
      </c>
      <c r="B199" s="6" t="s">
        <v>214</v>
      </c>
      <c r="C199" s="6" t="n">
        <v>13465</v>
      </c>
      <c r="D199" s="6" t="s">
        <v>373</v>
      </c>
      <c r="E199" s="6" t="n">
        <v>2</v>
      </c>
    </row>
    <row r="200" customFormat="false" ht="15" hidden="false" customHeight="true" outlineLevel="0" collapsed="false">
      <c r="A200" s="6" t="n">
        <v>250075</v>
      </c>
      <c r="B200" s="6" t="s">
        <v>216</v>
      </c>
      <c r="C200" s="6" t="n">
        <v>12184</v>
      </c>
      <c r="D200" s="6" t="s">
        <v>326</v>
      </c>
      <c r="E200" s="6" t="n">
        <v>3</v>
      </c>
    </row>
    <row r="201" customFormat="false" ht="15" hidden="false" customHeight="true" outlineLevel="0" collapsed="false">
      <c r="A201" s="6" t="n">
        <v>250075</v>
      </c>
      <c r="B201" s="6" t="s">
        <v>216</v>
      </c>
      <c r="C201" s="6" t="n">
        <v>3713</v>
      </c>
      <c r="D201" s="6" t="s">
        <v>277</v>
      </c>
      <c r="E201" s="6" t="n">
        <v>4</v>
      </c>
    </row>
    <row r="202" customFormat="false" ht="15" hidden="false" customHeight="true" outlineLevel="0" collapsed="false">
      <c r="A202" s="6" t="n">
        <v>250068</v>
      </c>
      <c r="B202" s="6" t="s">
        <v>218</v>
      </c>
      <c r="C202" s="6" t="n">
        <v>3712</v>
      </c>
      <c r="D202" s="6" t="s">
        <v>360</v>
      </c>
      <c r="E202" s="6" t="n">
        <v>3</v>
      </c>
    </row>
    <row r="203" customFormat="false" ht="15" hidden="false" customHeight="true" outlineLevel="0" collapsed="false">
      <c r="A203" s="6" t="n">
        <v>250068</v>
      </c>
      <c r="B203" s="6" t="s">
        <v>218</v>
      </c>
      <c r="C203" s="6" t="n">
        <v>3713</v>
      </c>
      <c r="D203" s="6" t="s">
        <v>277</v>
      </c>
      <c r="E203" s="6" t="n">
        <v>3</v>
      </c>
    </row>
    <row r="204" customFormat="false" ht="15" hidden="false" customHeight="true" outlineLevel="0" collapsed="false">
      <c r="A204" s="6" t="n">
        <v>250071</v>
      </c>
      <c r="B204" s="6" t="s">
        <v>219</v>
      </c>
      <c r="C204" s="6" t="n">
        <v>5471</v>
      </c>
      <c r="D204" s="6" t="s">
        <v>345</v>
      </c>
      <c r="E204" s="6" t="n">
        <v>3</v>
      </c>
    </row>
    <row r="205" customFormat="false" ht="15" hidden="false" customHeight="true" outlineLevel="0" collapsed="false">
      <c r="A205" s="6" t="n">
        <v>250071</v>
      </c>
      <c r="B205" s="6" t="s">
        <v>219</v>
      </c>
      <c r="C205" s="6" t="n">
        <v>3713</v>
      </c>
      <c r="D205" s="6" t="s">
        <v>277</v>
      </c>
      <c r="E205" s="6" t="n">
        <v>4</v>
      </c>
    </row>
    <row r="206" customFormat="false" ht="15" hidden="false" customHeight="true" outlineLevel="0" collapsed="false">
      <c r="A206" s="6" t="n">
        <v>13927</v>
      </c>
      <c r="B206" s="6" t="s">
        <v>220</v>
      </c>
      <c r="C206" s="6" t="n">
        <v>13754</v>
      </c>
      <c r="D206" s="6" t="s">
        <v>280</v>
      </c>
      <c r="E206" s="6" t="n">
        <v>1</v>
      </c>
    </row>
    <row r="207" customFormat="false" ht="15" hidden="false" customHeight="true" outlineLevel="0" collapsed="false">
      <c r="A207" s="6" t="n">
        <v>13927</v>
      </c>
      <c r="B207" s="6" t="s">
        <v>220</v>
      </c>
      <c r="C207" s="6" t="n">
        <v>3713</v>
      </c>
      <c r="D207" s="6" t="s">
        <v>277</v>
      </c>
      <c r="E207" s="6" t="n">
        <v>1</v>
      </c>
    </row>
    <row r="208" customFormat="false" ht="15" hidden="false" customHeight="true" outlineLevel="0" collapsed="false">
      <c r="A208" s="6" t="n">
        <v>12216</v>
      </c>
      <c r="B208" s="6" t="s">
        <v>222</v>
      </c>
      <c r="C208" s="6" t="n">
        <v>12206</v>
      </c>
      <c r="D208" s="6" t="s">
        <v>367</v>
      </c>
      <c r="E208" s="6" t="n">
        <v>1</v>
      </c>
    </row>
    <row r="209" customFormat="false" ht="15" hidden="false" customHeight="true" outlineLevel="0" collapsed="false">
      <c r="A209" s="6" t="n">
        <v>12216</v>
      </c>
      <c r="B209" s="6" t="s">
        <v>222</v>
      </c>
      <c r="C209" s="6" t="n">
        <v>2692</v>
      </c>
      <c r="D209" s="6" t="s">
        <v>275</v>
      </c>
      <c r="E209" s="6" t="n">
        <v>2</v>
      </c>
    </row>
    <row r="210" customFormat="false" ht="15" hidden="false" customHeight="true" outlineLevel="0" collapsed="false">
      <c r="A210" s="6" t="n">
        <v>13930</v>
      </c>
      <c r="B210" s="6" t="s">
        <v>223</v>
      </c>
      <c r="C210" s="6" t="n">
        <v>13758</v>
      </c>
      <c r="D210" s="6" t="s">
        <v>374</v>
      </c>
      <c r="E210" s="6" t="n">
        <v>1</v>
      </c>
    </row>
    <row r="211" customFormat="false" ht="15" hidden="false" customHeight="true" outlineLevel="0" collapsed="false">
      <c r="A211" s="6" t="n">
        <v>6887</v>
      </c>
      <c r="B211" s="6" t="s">
        <v>224</v>
      </c>
      <c r="C211" s="6" t="n">
        <v>4603</v>
      </c>
      <c r="D211" s="6" t="s">
        <v>375</v>
      </c>
      <c r="E211" s="6" t="n">
        <v>1</v>
      </c>
    </row>
    <row r="212" customFormat="false" ht="15" hidden="false" customHeight="true" outlineLevel="0" collapsed="false">
      <c r="A212" s="6" t="n">
        <v>12218</v>
      </c>
      <c r="B212" s="6" t="s">
        <v>225</v>
      </c>
      <c r="C212" s="6" t="n">
        <v>12207</v>
      </c>
      <c r="D212" s="6" t="s">
        <v>352</v>
      </c>
      <c r="E212" s="6" t="n">
        <v>1</v>
      </c>
    </row>
    <row r="213" customFormat="false" ht="15" hidden="false" customHeight="true" outlineLevel="0" collapsed="false">
      <c r="A213" s="6" t="n">
        <v>12218</v>
      </c>
      <c r="B213" s="6" t="s">
        <v>225</v>
      </c>
      <c r="C213" s="6" t="n">
        <v>3713</v>
      </c>
      <c r="D213" s="6" t="s">
        <v>277</v>
      </c>
      <c r="E213" s="6" t="n">
        <v>2</v>
      </c>
    </row>
    <row r="214" customFormat="false" ht="15" hidden="false" customHeight="true" outlineLevel="0" collapsed="false">
      <c r="A214" s="6" t="n">
        <v>16766</v>
      </c>
      <c r="B214" s="6" t="s">
        <v>226</v>
      </c>
      <c r="C214" s="6" t="n">
        <v>7974</v>
      </c>
      <c r="D214" s="6" t="s">
        <v>355</v>
      </c>
      <c r="E214" s="6" t="n">
        <v>2</v>
      </c>
    </row>
    <row r="215" customFormat="false" ht="15" hidden="false" customHeight="true" outlineLevel="0" collapsed="false">
      <c r="A215" s="6" t="n">
        <v>16766</v>
      </c>
      <c r="B215" s="6" t="s">
        <v>226</v>
      </c>
      <c r="C215" s="6" t="n">
        <v>2692</v>
      </c>
      <c r="D215" s="6" t="s">
        <v>275</v>
      </c>
      <c r="E215" s="6" t="n">
        <v>1</v>
      </c>
    </row>
    <row r="216" customFormat="false" ht="15" hidden="false" customHeight="true" outlineLevel="0" collapsed="false">
      <c r="A216" s="6" t="n">
        <v>16766</v>
      </c>
      <c r="B216" s="6" t="s">
        <v>226</v>
      </c>
      <c r="C216" s="6" t="n">
        <v>1179</v>
      </c>
      <c r="D216" s="6" t="s">
        <v>308</v>
      </c>
      <c r="E216" s="6" t="n">
        <v>1</v>
      </c>
    </row>
    <row r="217" customFormat="false" ht="15" hidden="false" customHeight="true" outlineLevel="0" collapsed="false">
      <c r="A217" s="6" t="n">
        <v>18045</v>
      </c>
      <c r="B217" s="6" t="s">
        <v>227</v>
      </c>
      <c r="C217" s="6" t="n">
        <v>12208</v>
      </c>
      <c r="D217" s="6" t="s">
        <v>376</v>
      </c>
      <c r="E217" s="6" t="n">
        <v>1</v>
      </c>
    </row>
    <row r="218" customFormat="false" ht="15" hidden="false" customHeight="true" outlineLevel="0" collapsed="false">
      <c r="A218" s="6" t="n">
        <v>18045</v>
      </c>
      <c r="B218" s="6" t="s">
        <v>227</v>
      </c>
      <c r="C218" s="6" t="n">
        <v>3713</v>
      </c>
      <c r="D218" s="6" t="s">
        <v>277</v>
      </c>
      <c r="E218" s="6" t="n">
        <v>1</v>
      </c>
    </row>
    <row r="219" customFormat="false" ht="15" hidden="false" customHeight="false" outlineLevel="0" collapsed="false">
      <c r="A219" s="6" t="n">
        <v>13928</v>
      </c>
      <c r="B219" s="6" t="s">
        <v>228</v>
      </c>
      <c r="C219" s="6" t="n">
        <v>13755</v>
      </c>
      <c r="D219" s="6" t="s">
        <v>377</v>
      </c>
      <c r="E219" s="6" t="n">
        <v>1</v>
      </c>
    </row>
    <row r="220" customFormat="false" ht="15" hidden="false" customHeight="false" outlineLevel="0" collapsed="false">
      <c r="A220" s="6" t="n">
        <v>13928</v>
      </c>
      <c r="B220" s="6" t="s">
        <v>228</v>
      </c>
      <c r="C220" s="6" t="n">
        <v>3713</v>
      </c>
      <c r="D220" s="6" t="s">
        <v>277</v>
      </c>
      <c r="E220" s="6" t="n">
        <v>1</v>
      </c>
    </row>
    <row r="221" customFormat="false" ht="15" hidden="false" customHeight="false" outlineLevel="0" collapsed="false">
      <c r="A221" s="6" t="n">
        <v>13929</v>
      </c>
      <c r="B221" s="6" t="s">
        <v>230</v>
      </c>
      <c r="C221" s="6" t="n">
        <v>13756</v>
      </c>
      <c r="D221" s="6" t="s">
        <v>378</v>
      </c>
      <c r="E221" s="6" t="n">
        <v>1</v>
      </c>
    </row>
    <row r="222" customFormat="false" ht="15" hidden="false" customHeight="false" outlineLevel="0" collapsed="false">
      <c r="A222" s="6" t="n">
        <v>13929</v>
      </c>
      <c r="B222" s="6" t="s">
        <v>230</v>
      </c>
      <c r="C222" s="6" t="n">
        <v>2692</v>
      </c>
      <c r="D222" s="6" t="s">
        <v>275</v>
      </c>
      <c r="E222" s="6" t="n">
        <v>2</v>
      </c>
    </row>
    <row r="223" customFormat="false" ht="15" hidden="false" customHeight="false" outlineLevel="0" collapsed="false">
      <c r="A223" s="6" t="n">
        <v>13931</v>
      </c>
      <c r="B223" s="6" t="s">
        <v>231</v>
      </c>
      <c r="C223" s="6" t="n">
        <v>13759</v>
      </c>
      <c r="D223" s="6" t="s">
        <v>379</v>
      </c>
      <c r="E223" s="6" t="n">
        <v>1</v>
      </c>
    </row>
    <row r="224" customFormat="false" ht="15" hidden="false" customHeight="false" outlineLevel="0" collapsed="false">
      <c r="A224" s="6" t="n">
        <v>13931</v>
      </c>
      <c r="B224" s="6" t="s">
        <v>231</v>
      </c>
      <c r="C224" s="6" t="n">
        <v>159</v>
      </c>
      <c r="D224" s="6" t="s">
        <v>293</v>
      </c>
      <c r="E224" s="6" t="n">
        <v>1</v>
      </c>
    </row>
    <row r="225" customFormat="false" ht="15" hidden="false" customHeight="false" outlineLevel="0" collapsed="false">
      <c r="A225" s="6" t="n">
        <v>13932</v>
      </c>
      <c r="B225" s="6" t="s">
        <v>233</v>
      </c>
      <c r="C225" s="6" t="n">
        <v>13760</v>
      </c>
      <c r="D225" s="6" t="s">
        <v>380</v>
      </c>
      <c r="E225" s="6" t="n">
        <v>1</v>
      </c>
    </row>
    <row r="226" customFormat="false" ht="15" hidden="false" customHeight="false" outlineLevel="0" collapsed="false">
      <c r="A226" s="6" t="n">
        <v>13933</v>
      </c>
      <c r="B226" s="6" t="s">
        <v>234</v>
      </c>
      <c r="C226" s="6" t="n">
        <v>13888</v>
      </c>
      <c r="D226" s="6" t="s">
        <v>381</v>
      </c>
      <c r="E226" s="6" t="n">
        <v>1</v>
      </c>
    </row>
    <row r="227" customFormat="false" ht="15" hidden="false" customHeight="false" outlineLevel="0" collapsed="false">
      <c r="A227" s="6" t="n">
        <v>13933</v>
      </c>
      <c r="B227" s="6" t="s">
        <v>234</v>
      </c>
      <c r="C227" s="6" t="n">
        <v>159</v>
      </c>
      <c r="D227" s="6" t="s">
        <v>293</v>
      </c>
      <c r="E227" s="6" t="n">
        <v>1</v>
      </c>
    </row>
    <row r="228" customFormat="false" ht="15" hidden="false" customHeight="false" outlineLevel="0" collapsed="false">
      <c r="A228" s="6" t="n">
        <v>13934</v>
      </c>
      <c r="B228" s="6" t="s">
        <v>236</v>
      </c>
      <c r="C228" s="6" t="n">
        <v>13893</v>
      </c>
      <c r="D228" s="6" t="s">
        <v>382</v>
      </c>
      <c r="E228" s="6" t="n">
        <v>1</v>
      </c>
    </row>
    <row r="229" customFormat="false" ht="15" hidden="false" customHeight="false" outlineLevel="0" collapsed="false">
      <c r="A229" s="6" t="n">
        <v>13934</v>
      </c>
      <c r="B229" s="6" t="s">
        <v>236</v>
      </c>
      <c r="C229" s="6" t="n">
        <v>2692</v>
      </c>
      <c r="D229" s="6" t="s">
        <v>275</v>
      </c>
      <c r="E229" s="6" t="n">
        <v>1</v>
      </c>
    </row>
    <row r="230" customFormat="false" ht="15" hidden="false" customHeight="false" outlineLevel="0" collapsed="false">
      <c r="A230" s="6" t="n">
        <v>13934</v>
      </c>
      <c r="B230" s="6" t="s">
        <v>236</v>
      </c>
      <c r="C230" s="6" t="n">
        <v>3713</v>
      </c>
      <c r="D230" s="6" t="s">
        <v>277</v>
      </c>
      <c r="E230" s="6" t="n">
        <v>1</v>
      </c>
    </row>
    <row r="231" customFormat="false" ht="15" hidden="false" customHeight="false" outlineLevel="0" collapsed="false">
      <c r="A231" s="6" t="n">
        <v>13935</v>
      </c>
      <c r="B231" s="6" t="s">
        <v>237</v>
      </c>
      <c r="C231" s="6" t="n">
        <v>13889</v>
      </c>
      <c r="D231" s="6" t="s">
        <v>383</v>
      </c>
      <c r="E231" s="6" t="n">
        <v>1</v>
      </c>
    </row>
    <row r="232" customFormat="false" ht="15" hidden="false" customHeight="false" outlineLevel="0" collapsed="false">
      <c r="A232" s="6" t="n">
        <v>13935</v>
      </c>
      <c r="B232" s="6" t="s">
        <v>237</v>
      </c>
      <c r="C232" s="6" t="n">
        <v>3713</v>
      </c>
      <c r="D232" s="6" t="s">
        <v>277</v>
      </c>
      <c r="E232" s="6" t="n">
        <v>1</v>
      </c>
    </row>
    <row r="233" customFormat="false" ht="15" hidden="false" customHeight="false" outlineLevel="0" collapsed="false">
      <c r="A233" s="6" t="n">
        <v>18254</v>
      </c>
      <c r="B233" s="6" t="s">
        <v>238</v>
      </c>
      <c r="C233" s="6" t="n">
        <v>18255</v>
      </c>
      <c r="D233" s="6" t="s">
        <v>384</v>
      </c>
      <c r="E233" s="6" t="n">
        <v>1</v>
      </c>
    </row>
    <row r="234" customFormat="false" ht="15" hidden="false" customHeight="false" outlineLevel="0" collapsed="false">
      <c r="A234" s="6" t="n">
        <v>18254</v>
      </c>
      <c r="B234" s="6" t="s">
        <v>238</v>
      </c>
      <c r="C234" s="6" t="n">
        <v>3713</v>
      </c>
      <c r="D234" s="6" t="s">
        <v>277</v>
      </c>
      <c r="E234" s="6" t="n">
        <v>1</v>
      </c>
    </row>
    <row r="235" customFormat="false" ht="15" hidden="false" customHeight="false" outlineLevel="0" collapsed="false">
      <c r="A235" s="6" t="n">
        <v>20452</v>
      </c>
      <c r="B235" s="6" t="s">
        <v>239</v>
      </c>
      <c r="C235" s="6" t="n">
        <v>20424</v>
      </c>
      <c r="D235" s="6" t="s">
        <v>385</v>
      </c>
      <c r="E235" s="6" t="n">
        <v>1</v>
      </c>
    </row>
    <row r="236" customFormat="false" ht="15" hidden="false" customHeight="false" outlineLevel="0" collapsed="false">
      <c r="A236" s="6" t="n">
        <v>20452</v>
      </c>
      <c r="B236" s="6" t="s">
        <v>239</v>
      </c>
      <c r="C236" s="6" t="n">
        <v>3713</v>
      </c>
      <c r="D236" s="6" t="s">
        <v>277</v>
      </c>
      <c r="E236" s="6" t="n">
        <v>1</v>
      </c>
    </row>
    <row r="237" customFormat="false" ht="15" hidden="false" customHeight="false" outlineLevel="0" collapsed="false">
      <c r="A237" s="6" t="n">
        <v>21023</v>
      </c>
      <c r="B237" s="6" t="s">
        <v>241</v>
      </c>
      <c r="C237" s="6" t="n">
        <v>2692</v>
      </c>
      <c r="D237" s="6" t="s">
        <v>275</v>
      </c>
      <c r="E237" s="6" t="n">
        <v>1</v>
      </c>
    </row>
    <row r="238" customFormat="false" ht="15" hidden="false" customHeight="false" outlineLevel="0" collapsed="false">
      <c r="A238" s="6" t="n">
        <v>21023</v>
      </c>
      <c r="B238" s="6" t="s">
        <v>241</v>
      </c>
      <c r="C238" s="6" t="n">
        <v>9061</v>
      </c>
      <c r="D238" s="6" t="s">
        <v>386</v>
      </c>
      <c r="E238" s="6" t="n">
        <v>1</v>
      </c>
    </row>
    <row r="239" customFormat="false" ht="15" hidden="false" customHeight="false" outlineLevel="0" collapsed="false">
      <c r="A239" s="6" t="n">
        <v>21023</v>
      </c>
      <c r="B239" s="6" t="s">
        <v>241</v>
      </c>
      <c r="C239" s="6" t="n">
        <v>8150</v>
      </c>
      <c r="D239" s="6" t="s">
        <v>387</v>
      </c>
      <c r="E239" s="6" t="n">
        <v>1</v>
      </c>
    </row>
    <row r="240" customFormat="false" ht="15" hidden="false" customHeight="false" outlineLevel="0" collapsed="false">
      <c r="A240" s="6" t="n">
        <v>21023</v>
      </c>
      <c r="B240" s="6" t="s">
        <v>241</v>
      </c>
      <c r="C240" s="6" t="n">
        <v>21024</v>
      </c>
      <c r="D240" s="6" t="s">
        <v>388</v>
      </c>
      <c r="E240" s="6" t="n">
        <v>1</v>
      </c>
    </row>
  </sheetData>
  <autoFilter ref="A1:E218"/>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11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14"/>
    <col collapsed="false" customWidth="true" hidden="false" outlineLevel="0" max="2" min="2" style="1" width="38"/>
    <col collapsed="false" customWidth="true" hidden="false" outlineLevel="0" max="3" min="3" style="1" width="16"/>
    <col collapsed="false" customWidth="true" hidden="false" outlineLevel="0" max="4" min="4" style="1" width="18"/>
    <col collapsed="false" customWidth="true" hidden="false" outlineLevel="0" max="6" min="5" style="1" width="16"/>
    <col collapsed="false" customWidth="true" hidden="false" outlineLevel="0" max="7" min="7" style="1" width="18"/>
  </cols>
  <sheetData>
    <row r="1" customFormat="false" ht="31.5" hidden="false" customHeight="true" outlineLevel="0" collapsed="false">
      <c r="A1" s="5" t="s">
        <v>263</v>
      </c>
      <c r="B1" s="5" t="s">
        <v>264</v>
      </c>
      <c r="C1" s="5" t="s">
        <v>389</v>
      </c>
      <c r="D1" s="5" t="s">
        <v>390</v>
      </c>
      <c r="E1" s="5" t="s">
        <v>391</v>
      </c>
      <c r="F1" s="5" t="s">
        <v>392</v>
      </c>
      <c r="G1" s="5" t="s">
        <v>393</v>
      </c>
    </row>
    <row r="2" customFormat="false" ht="15" hidden="false" customHeight="true" outlineLevel="0" collapsed="false">
      <c r="A2" s="6" t="n">
        <v>3404</v>
      </c>
      <c r="B2" s="6" t="s">
        <v>358</v>
      </c>
      <c r="C2" s="9" t="n">
        <f aca="false">COUNTIF(Composants!C:C,A2)</f>
        <v>1</v>
      </c>
      <c r="D2" s="9" t="n">
        <f aca="false">SUMIF(Composants!C:C,A2,Composants!E:E)</f>
        <v>1</v>
      </c>
      <c r="E2" s="9" t="n">
        <f aca="false">COUNTIF(Sources!A:A,A2)</f>
        <v>4</v>
      </c>
      <c r="F2" s="9" t="str">
        <f aca="false">IF(E2&gt;0,"Renseigné","À renseigner")</f>
        <v>Renseigné</v>
      </c>
      <c r="G2" s="9" t="n">
        <f aca="false">SUMIF(Plan_matériaux!$C$2:$C$19,A2,Plan_matériaux!$G$2:$G$19)</f>
        <v>0</v>
      </c>
    </row>
    <row r="3" customFormat="false" ht="15" hidden="false" customHeight="true" outlineLevel="0" collapsed="false">
      <c r="A3" s="6" t="n">
        <v>12223</v>
      </c>
      <c r="B3" s="6" t="s">
        <v>270</v>
      </c>
      <c r="C3" s="9" t="n">
        <f aca="false">COUNTIF(Composants!C:C,A3)</f>
        <v>1</v>
      </c>
      <c r="D3" s="9" t="n">
        <f aca="false">SUMIF(Composants!C:C,A3,Composants!E:E)</f>
        <v>1</v>
      </c>
      <c r="E3" s="9" t="n">
        <f aca="false">COUNTIF(Sources!A:A,A3)</f>
        <v>1</v>
      </c>
      <c r="F3" s="9" t="str">
        <f aca="false">IF(E3&gt;0,"Renseigné","À renseigner")</f>
        <v>Renseigné</v>
      </c>
      <c r="G3" s="9" t="n">
        <f aca="false">SUMIF(Plan_matériaux!$C$2:$C$19,A3,Plan_matériaux!$G$2:$G$19)</f>
        <v>44</v>
      </c>
    </row>
    <row r="4" customFormat="false" ht="15" hidden="false" customHeight="true" outlineLevel="0" collapsed="false">
      <c r="A4" s="6" t="n">
        <v>1468</v>
      </c>
      <c r="B4" s="6" t="s">
        <v>335</v>
      </c>
      <c r="C4" s="9" t="n">
        <f aca="false">COUNTIF(Composants!C:C,A4)</f>
        <v>2</v>
      </c>
      <c r="D4" s="9" t="n">
        <f aca="false">SUMIF(Composants!C:C,A4,Composants!E:E)</f>
        <v>3</v>
      </c>
      <c r="E4" s="9" t="n">
        <f aca="false">COUNTIF(Sources!A:A,A4)</f>
        <v>2</v>
      </c>
      <c r="F4" s="9" t="str">
        <f aca="false">IF(E4&gt;0,"Renseigné","À renseigner")</f>
        <v>Renseigné</v>
      </c>
      <c r="G4" s="9" t="n">
        <f aca="false">SUMIF(Plan_matériaux!$C$2:$C$19,A4,Plan_matériaux!$G$2:$G$19)</f>
        <v>0</v>
      </c>
    </row>
    <row r="5" customFormat="false" ht="15" hidden="false" customHeight="true" outlineLevel="0" collapsed="false">
      <c r="A5" s="6" t="n">
        <v>13754</v>
      </c>
      <c r="B5" s="6" t="s">
        <v>280</v>
      </c>
      <c r="C5" s="9" t="n">
        <f aca="false">COUNTIF(Composants!C:C,A5)</f>
        <v>1</v>
      </c>
      <c r="D5" s="9" t="n">
        <f aca="false">SUMIF(Composants!C:C,A5,Composants!E:E)</f>
        <v>1</v>
      </c>
      <c r="E5" s="9" t="n">
        <f aca="false">COUNTIF(Sources!A:A,A5)</f>
        <v>5</v>
      </c>
      <c r="F5" s="9" t="str">
        <f aca="false">IF(E5&gt;0,"Renseigné","À renseigner")</f>
        <v>Renseigné</v>
      </c>
      <c r="G5" s="9" t="n">
        <f aca="false">SUMIF(Plan_matériaux!$C$2:$C$19,A5,Plan_matériaux!$G$2:$G$19)</f>
        <v>112</v>
      </c>
    </row>
    <row r="6" customFormat="false" ht="15" hidden="false" customHeight="true" outlineLevel="0" collapsed="false">
      <c r="A6" s="6" t="n">
        <v>2894</v>
      </c>
      <c r="B6" s="6" t="s">
        <v>307</v>
      </c>
      <c r="C6" s="9" t="n">
        <f aca="false">COUNTIF(Composants!C:C,A6)</f>
        <v>1</v>
      </c>
      <c r="D6" s="9" t="n">
        <f aca="false">SUMIF(Composants!C:C,A6,Composants!E:E)</f>
        <v>1</v>
      </c>
      <c r="E6" s="9" t="n">
        <f aca="false">COUNTIF(Sources!A:A,A6)</f>
        <v>0</v>
      </c>
      <c r="F6" s="9" t="str">
        <f aca="false">IF(E6&gt;0,"Renseigné","À renseigner")</f>
        <v>À renseigner</v>
      </c>
      <c r="G6" s="9" t="n">
        <f aca="false">SUMIF(Plan_matériaux!$C$2:$C$19,A6,Plan_matériaux!$G$2:$G$19)</f>
        <v>0</v>
      </c>
    </row>
    <row r="7" customFormat="false" ht="15" hidden="false" customHeight="true" outlineLevel="0" collapsed="false">
      <c r="A7" s="6" t="n">
        <v>11291</v>
      </c>
      <c r="B7" s="6" t="s">
        <v>322</v>
      </c>
      <c r="C7" s="9" t="n">
        <f aca="false">COUNTIF(Composants!C:C,A7)</f>
        <v>1</v>
      </c>
      <c r="D7" s="9" t="n">
        <f aca="false">SUMIF(Composants!C:C,A7,Composants!E:E)</f>
        <v>1</v>
      </c>
      <c r="E7" s="9" t="n">
        <f aca="false">COUNTIF(Sources!A:A,A7)</f>
        <v>1</v>
      </c>
      <c r="F7" s="9" t="str">
        <f aca="false">IF(E7&gt;0,"Renseigné","À renseigner")</f>
        <v>Renseigné</v>
      </c>
      <c r="G7" s="9" t="n">
        <f aca="false">SUMIF(Plan_matériaux!$C$2:$C$19,A7,Plan_matériaux!$G$2:$G$19)</f>
        <v>0</v>
      </c>
    </row>
    <row r="8" customFormat="false" ht="15" hidden="false" customHeight="true" outlineLevel="0" collapsed="false">
      <c r="A8" s="6" t="n">
        <v>4470</v>
      </c>
      <c r="B8" s="6" t="s">
        <v>292</v>
      </c>
      <c r="C8" s="9" t="n">
        <f aca="false">COUNTIF(Composants!C:C,A8)</f>
        <v>2</v>
      </c>
      <c r="D8" s="9" t="n">
        <f aca="false">SUMIF(Composants!C:C,A8,Composants!E:E)</f>
        <v>2</v>
      </c>
      <c r="E8" s="9" t="n">
        <f aca="false">COUNTIF(Sources!A:A,A8)</f>
        <v>2</v>
      </c>
      <c r="F8" s="9" t="str">
        <f aca="false">IF(E8&gt;0,"Renseigné","À renseigner")</f>
        <v>Renseigné</v>
      </c>
      <c r="G8" s="9" t="n">
        <f aca="false">SUMIF(Plan_matériaux!$C$2:$C$19,A8,Plan_matériaux!$G$2:$G$19)</f>
        <v>0</v>
      </c>
    </row>
    <row r="9" customFormat="false" ht="15" hidden="false" customHeight="true" outlineLevel="0" collapsed="false">
      <c r="A9" s="6" t="n">
        <v>272941</v>
      </c>
      <c r="B9" s="6" t="s">
        <v>354</v>
      </c>
      <c r="C9" s="9" t="n">
        <f aca="false">COUNTIF(Composants!C:C,A9)</f>
        <v>1</v>
      </c>
      <c r="D9" s="9" t="n">
        <f aca="false">SUMIF(Composants!C:C,A9,Composants!E:E)</f>
        <v>1</v>
      </c>
      <c r="E9" s="9" t="n">
        <f aca="false">COUNTIF(Sources!A:A,A9)</f>
        <v>0</v>
      </c>
      <c r="F9" s="9" t="str">
        <f aca="false">IF(E9&gt;0,"Renseigné","À renseigner")</f>
        <v>À renseigner</v>
      </c>
      <c r="G9" s="9" t="n">
        <f aca="false">SUMIF(Plan_matériaux!$C$2:$C$19,A9,Plan_matériaux!$G$2:$G$19)</f>
        <v>0</v>
      </c>
    </row>
    <row r="10" customFormat="false" ht="15" hidden="false" customHeight="true" outlineLevel="0" collapsed="false">
      <c r="A10" s="6" t="n">
        <v>1081</v>
      </c>
      <c r="B10" s="6" t="s">
        <v>336</v>
      </c>
      <c r="C10" s="9" t="n">
        <f aca="false">COUNTIF(Composants!C:C,A10)</f>
        <v>1</v>
      </c>
      <c r="D10" s="9" t="n">
        <f aca="false">SUMIF(Composants!C:C,A10,Composants!E:E)</f>
        <v>1</v>
      </c>
      <c r="E10" s="9" t="n">
        <f aca="false">COUNTIF(Sources!A:A,A10)</f>
        <v>1</v>
      </c>
      <c r="F10" s="9" t="str">
        <f aca="false">IF(E10&gt;0,"Renseigné","À renseigner")</f>
        <v>Renseigné</v>
      </c>
      <c r="G10" s="9" t="n">
        <f aca="false">SUMIF(Plan_matériaux!$C$2:$C$19,A10,Plan_matériaux!$G$2:$G$19)</f>
        <v>0</v>
      </c>
    </row>
    <row r="11" customFormat="false" ht="15" hidden="false" customHeight="true" outlineLevel="0" collapsed="false">
      <c r="A11" s="6" t="n">
        <v>2674</v>
      </c>
      <c r="B11" s="6" t="s">
        <v>325</v>
      </c>
      <c r="C11" s="9" t="n">
        <f aca="false">COUNTIF(Composants!C:C,A11)</f>
        <v>1</v>
      </c>
      <c r="D11" s="9" t="n">
        <f aca="false">SUMIF(Composants!C:C,A11,Composants!E:E)</f>
        <v>1</v>
      </c>
      <c r="E11" s="9" t="n">
        <f aca="false">COUNTIF(Sources!A:A,A11)</f>
        <v>3</v>
      </c>
      <c r="F11" s="9" t="str">
        <f aca="false">IF(E11&gt;0,"Renseigné","À renseigner")</f>
        <v>Renseigné</v>
      </c>
      <c r="G11" s="9" t="n">
        <f aca="false">SUMIF(Plan_matériaux!$C$2:$C$19,A11,Plan_matériaux!$G$2:$G$19)</f>
        <v>0</v>
      </c>
    </row>
    <row r="12" customFormat="false" ht="15" hidden="false" customHeight="true" outlineLevel="0" collapsed="false">
      <c r="A12" s="6" t="n">
        <v>5503</v>
      </c>
      <c r="B12" s="6" t="s">
        <v>313</v>
      </c>
      <c r="C12" s="9" t="n">
        <f aca="false">COUNTIF(Composants!C:C,A12)</f>
        <v>2</v>
      </c>
      <c r="D12" s="9" t="n">
        <f aca="false">SUMIF(Composants!C:C,A12,Composants!E:E)</f>
        <v>2</v>
      </c>
      <c r="E12" s="9" t="n">
        <f aca="false">COUNTIF(Sources!A:A,A12)</f>
        <v>3</v>
      </c>
      <c r="F12" s="9" t="str">
        <f aca="false">IF(E12&gt;0,"Renseigné","À renseigner")</f>
        <v>Renseigné</v>
      </c>
      <c r="G12" s="9" t="n">
        <f aca="false">SUMIF(Plan_matériaux!$C$2:$C$19,A12,Plan_matériaux!$G$2:$G$19)</f>
        <v>0</v>
      </c>
    </row>
    <row r="13" customFormat="false" ht="15" hidden="false" customHeight="true" outlineLevel="0" collapsed="false">
      <c r="A13" s="6" t="n">
        <v>4655</v>
      </c>
      <c r="B13" s="6" t="s">
        <v>359</v>
      </c>
      <c r="C13" s="9" t="n">
        <f aca="false">COUNTIF(Composants!C:C,A13)</f>
        <v>1</v>
      </c>
      <c r="D13" s="9" t="n">
        <f aca="false">SUMIF(Composants!C:C,A13,Composants!E:E)</f>
        <v>1</v>
      </c>
      <c r="E13" s="9" t="n">
        <f aca="false">COUNTIF(Sources!A:A,A13)</f>
        <v>1</v>
      </c>
      <c r="F13" s="9" t="str">
        <f aca="false">IF(E13&gt;0,"Renseigné","À renseigner")</f>
        <v>Renseigné</v>
      </c>
      <c r="G13" s="9" t="n">
        <f aca="false">SUMIF(Plan_matériaux!$C$2:$C$19,A13,Plan_matériaux!$G$2:$G$19)</f>
        <v>0</v>
      </c>
    </row>
    <row r="14" customFormat="false" ht="15" hidden="false" customHeight="true" outlineLevel="0" collapsed="false">
      <c r="A14" s="6" t="n">
        <v>7974</v>
      </c>
      <c r="B14" s="6" t="s">
        <v>355</v>
      </c>
      <c r="C14" s="9" t="n">
        <f aca="false">COUNTIF(Composants!C:C,A14)</f>
        <v>2</v>
      </c>
      <c r="D14" s="9" t="n">
        <f aca="false">SUMIF(Composants!C:C,A14,Composants!E:E)</f>
        <v>5</v>
      </c>
      <c r="E14" s="9" t="n">
        <f aca="false">COUNTIF(Sources!A:A,A14)</f>
        <v>3</v>
      </c>
      <c r="F14" s="9" t="str">
        <f aca="false">IF(E14&gt;0,"Renseigné","À renseigner")</f>
        <v>Renseigné</v>
      </c>
      <c r="G14" s="9" t="n">
        <f aca="false">SUMIF(Plan_matériaux!$C$2:$C$19,A14,Plan_matériaux!$G$2:$G$19)</f>
        <v>0</v>
      </c>
    </row>
    <row r="15" customFormat="false" ht="15" hidden="false" customHeight="true" outlineLevel="0" collapsed="false">
      <c r="A15" s="6" t="n">
        <v>5504</v>
      </c>
      <c r="B15" s="6" t="s">
        <v>347</v>
      </c>
      <c r="C15" s="9" t="n">
        <f aca="false">COUNTIF(Composants!C:C,A15)</f>
        <v>1</v>
      </c>
      <c r="D15" s="9" t="n">
        <f aca="false">SUMIF(Composants!C:C,A15,Composants!E:E)</f>
        <v>1</v>
      </c>
      <c r="E15" s="9" t="n">
        <f aca="false">COUNTIF(Sources!A:A,A15)</f>
        <v>2</v>
      </c>
      <c r="F15" s="9" t="str">
        <f aca="false">IF(E15&gt;0,"Renseigné","À renseigner")</f>
        <v>Renseigné</v>
      </c>
      <c r="G15" s="9" t="n">
        <f aca="false">SUMIF(Plan_matériaux!$C$2:$C$19,A15,Plan_matériaux!$G$2:$G$19)</f>
        <v>0</v>
      </c>
    </row>
    <row r="16" customFormat="false" ht="15" hidden="false" customHeight="true" outlineLevel="0" collapsed="false">
      <c r="A16" s="6" t="n">
        <v>12184</v>
      </c>
      <c r="B16" s="6" t="s">
        <v>326</v>
      </c>
      <c r="C16" s="9" t="n">
        <f aca="false">COUNTIF(Composants!C:C,A16)</f>
        <v>5</v>
      </c>
      <c r="D16" s="9" t="n">
        <f aca="false">SUMIF(Composants!C:C,A16,Composants!E:E)</f>
        <v>9</v>
      </c>
      <c r="E16" s="9" t="n">
        <f aca="false">COUNTIF(Sources!A:A,A16)</f>
        <v>3</v>
      </c>
      <c r="F16" s="9" t="str">
        <f aca="false">IF(E16&gt;0,"Renseigné","À renseigner")</f>
        <v>Renseigné</v>
      </c>
      <c r="G16" s="9" t="n">
        <f aca="false">SUMIF(Plan_matériaux!$C$2:$C$19,A16,Plan_matériaux!$G$2:$G$19)</f>
        <v>0</v>
      </c>
    </row>
    <row r="17" customFormat="false" ht="15" hidden="false" customHeight="true" outlineLevel="0" collapsed="false">
      <c r="A17" s="6" t="n">
        <v>5468</v>
      </c>
      <c r="B17" s="6" t="s">
        <v>318</v>
      </c>
      <c r="C17" s="9" t="n">
        <f aca="false">COUNTIF(Composants!C:C,A17)</f>
        <v>1</v>
      </c>
      <c r="D17" s="9" t="n">
        <f aca="false">SUMIF(Composants!C:C,A17,Composants!E:E)</f>
        <v>1</v>
      </c>
      <c r="E17" s="9" t="n">
        <f aca="false">COUNTIF(Sources!A:A,A17)</f>
        <v>1</v>
      </c>
      <c r="F17" s="9" t="str">
        <f aca="false">IF(E17&gt;0,"Renseigné","À renseigner")</f>
        <v>Renseigné</v>
      </c>
      <c r="G17" s="9" t="n">
        <f aca="false">SUMIF(Plan_matériaux!$C$2:$C$19,A17,Plan_matériaux!$G$2:$G$19)</f>
        <v>0</v>
      </c>
    </row>
    <row r="18" customFormat="false" ht="15" hidden="false" customHeight="true" outlineLevel="0" collapsed="false">
      <c r="A18" s="6" t="n">
        <v>2452</v>
      </c>
      <c r="B18" s="6" t="s">
        <v>324</v>
      </c>
      <c r="C18" s="9" t="n">
        <f aca="false">COUNTIF(Composants!C:C,A18)</f>
        <v>1</v>
      </c>
      <c r="D18" s="9" t="n">
        <f aca="false">SUMIF(Composants!C:C,A18,Composants!E:E)</f>
        <v>1</v>
      </c>
      <c r="E18" s="9" t="n">
        <f aca="false">COUNTIF(Sources!A:A,A18)</f>
        <v>0</v>
      </c>
      <c r="F18" s="9" t="str">
        <f aca="false">IF(E18&gt;0,"Renseigné","À renseigner")</f>
        <v>À renseigner</v>
      </c>
      <c r="G18" s="9" t="n">
        <f aca="false">SUMIF(Plan_matériaux!$C$2:$C$19,A18,Plan_matériaux!$G$2:$G$19)</f>
        <v>0</v>
      </c>
    </row>
    <row r="19" customFormat="false" ht="15" hidden="false" customHeight="true" outlineLevel="0" collapsed="false">
      <c r="A19" s="6" t="n">
        <v>2677</v>
      </c>
      <c r="B19" s="6" t="s">
        <v>273</v>
      </c>
      <c r="C19" s="9" t="n">
        <f aca="false">COUNTIF(Composants!C:C,A19)</f>
        <v>2</v>
      </c>
      <c r="D19" s="9" t="n">
        <f aca="false">SUMIF(Composants!C:C,A19,Composants!E:E)</f>
        <v>3</v>
      </c>
      <c r="E19" s="9" t="n">
        <f aca="false">COUNTIF(Sources!A:A,A19)</f>
        <v>2</v>
      </c>
      <c r="F19" s="9" t="str">
        <f aca="false">IF(E19&gt;0,"Renseigné","À renseigner")</f>
        <v>Renseigné</v>
      </c>
      <c r="G19" s="9" t="n">
        <f aca="false">SUMIF(Plan_matériaux!$C$2:$C$19,A19,Plan_matériaux!$G$2:$G$19)</f>
        <v>40</v>
      </c>
    </row>
    <row r="20" customFormat="false" ht="15" hidden="false" customHeight="true" outlineLevel="0" collapsed="false">
      <c r="A20" s="6" t="n">
        <v>2886</v>
      </c>
      <c r="B20" s="6" t="s">
        <v>306</v>
      </c>
      <c r="C20" s="9" t="n">
        <f aca="false">COUNTIF(Composants!C:C,A20)</f>
        <v>1</v>
      </c>
      <c r="D20" s="9" t="n">
        <f aca="false">SUMIF(Composants!C:C,A20,Composants!E:E)</f>
        <v>1</v>
      </c>
      <c r="E20" s="9" t="n">
        <f aca="false">COUNTIF(Sources!A:A,A20)</f>
        <v>1</v>
      </c>
      <c r="F20" s="9" t="str">
        <f aca="false">IF(E20&gt;0,"Renseigné","À renseigner")</f>
        <v>Renseigné</v>
      </c>
      <c r="G20" s="9" t="n">
        <f aca="false">SUMIF(Plan_matériaux!$C$2:$C$19,A20,Plan_matériaux!$G$2:$G$19)</f>
        <v>0</v>
      </c>
    </row>
    <row r="21" customFormat="false" ht="15" hidden="false" customHeight="true" outlineLevel="0" collapsed="false">
      <c r="A21" s="6" t="n">
        <v>5466</v>
      </c>
      <c r="B21" s="6" t="s">
        <v>305</v>
      </c>
      <c r="C21" s="9" t="n">
        <f aca="false">COUNTIF(Composants!C:C,A21)</f>
        <v>1</v>
      </c>
      <c r="D21" s="9" t="n">
        <f aca="false">SUMIF(Composants!C:C,A21,Composants!E:E)</f>
        <v>1</v>
      </c>
      <c r="E21" s="9" t="n">
        <f aca="false">COUNTIF(Sources!A:A,A21)</f>
        <v>1</v>
      </c>
      <c r="F21" s="9" t="str">
        <f aca="false">IF(E21&gt;0,"Renseigné","À renseigner")</f>
        <v>Renseigné</v>
      </c>
      <c r="G21" s="9" t="n">
        <f aca="false">SUMIF(Plan_matériaux!$C$2:$C$19,A21,Plan_matériaux!$G$2:$G$19)</f>
        <v>0</v>
      </c>
    </row>
    <row r="22" customFormat="false" ht="15" hidden="false" customHeight="true" outlineLevel="0" collapsed="false">
      <c r="A22" s="6" t="n">
        <v>3821</v>
      </c>
      <c r="B22" s="6" t="s">
        <v>357</v>
      </c>
      <c r="C22" s="9" t="n">
        <f aca="false">COUNTIF(Composants!C:C,A22)</f>
        <v>1</v>
      </c>
      <c r="D22" s="9" t="n">
        <f aca="false">SUMIF(Composants!C:C,A22,Composants!E:E)</f>
        <v>1</v>
      </c>
      <c r="E22" s="9" t="n">
        <f aca="false">COUNTIF(Sources!A:A,A22)</f>
        <v>0</v>
      </c>
      <c r="F22" s="9" t="str">
        <f aca="false">IF(E22&gt;0,"Renseigné","À renseigner")</f>
        <v>À renseigner</v>
      </c>
      <c r="G22" s="9" t="n">
        <f aca="false">SUMIF(Plan_matériaux!$C$2:$C$19,A22,Plan_matériaux!$G$2:$G$19)</f>
        <v>0</v>
      </c>
    </row>
    <row r="23" customFormat="false" ht="15" hidden="false" customHeight="true" outlineLevel="0" collapsed="false">
      <c r="A23" s="6" t="n">
        <v>159</v>
      </c>
      <c r="B23" s="6" t="s">
        <v>293</v>
      </c>
      <c r="C23" s="9" t="n">
        <f aca="false">COUNTIF(Composants!C:C,A23)</f>
        <v>9</v>
      </c>
      <c r="D23" s="9" t="n">
        <f aca="false">SUMIF(Composants!C:C,A23,Composants!E:E)</f>
        <v>9</v>
      </c>
      <c r="E23" s="9" t="n">
        <f aca="false">COUNTIF(Sources!A:A,A23)</f>
        <v>2</v>
      </c>
      <c r="F23" s="9" t="str">
        <f aca="false">IF(E23&gt;0,"Renseigné","À renseigner")</f>
        <v>Renseigné</v>
      </c>
      <c r="G23" s="9" t="n">
        <f aca="false">SUMIF(Plan_matériaux!$C$2:$C$19,A23,Plan_matériaux!$G$2:$G$19)</f>
        <v>0</v>
      </c>
    </row>
    <row r="24" customFormat="false" ht="15" hidden="false" customHeight="true" outlineLevel="0" collapsed="false">
      <c r="A24" s="6" t="n">
        <v>17196</v>
      </c>
      <c r="B24" s="6" t="s">
        <v>309</v>
      </c>
      <c r="C24" s="9" t="n">
        <f aca="false">COUNTIF(Composants!C:C,A24)</f>
        <v>1</v>
      </c>
      <c r="D24" s="9" t="n">
        <f aca="false">SUMIF(Composants!C:C,A24,Composants!E:E)</f>
        <v>1</v>
      </c>
      <c r="E24" s="9" t="n">
        <f aca="false">COUNTIF(Sources!A:A,A24)</f>
        <v>0</v>
      </c>
      <c r="F24" s="9" t="str">
        <f aca="false">IF(E24&gt;0,"Renseigné","À renseigner")</f>
        <v>À renseigner</v>
      </c>
      <c r="G24" s="9" t="n">
        <f aca="false">SUMIF(Plan_matériaux!$C$2:$C$19,A24,Plan_matériaux!$G$2:$G$19)</f>
        <v>0</v>
      </c>
    </row>
    <row r="25" customFormat="false" ht="15" hidden="false" customHeight="true" outlineLevel="0" collapsed="false">
      <c r="A25" s="6" t="n">
        <v>3713</v>
      </c>
      <c r="B25" s="6" t="s">
        <v>277</v>
      </c>
      <c r="C25" s="9" t="n">
        <f aca="false">COUNTIF(Composants!C:C,A25)</f>
        <v>21</v>
      </c>
      <c r="D25" s="9" t="n">
        <f aca="false">SUMIF(Composants!C:C,A25,Composants!E:E)</f>
        <v>39</v>
      </c>
      <c r="E25" s="9" t="n">
        <f aca="false">COUNTIF(Sources!A:A,A25)</f>
        <v>1</v>
      </c>
      <c r="F25" s="9" t="str">
        <f aca="false">IF(E25&gt;0,"Renseigné","À renseigner")</f>
        <v>Renseigné</v>
      </c>
      <c r="G25" s="9" t="n">
        <f aca="false">SUMIF(Plan_matériaux!$C$2:$C$19,A25,Plan_matériaux!$G$2:$G$19)</f>
        <v>142</v>
      </c>
    </row>
    <row r="26" customFormat="false" ht="15" hidden="false" customHeight="true" outlineLevel="0" collapsed="false">
      <c r="A26" s="6" t="n">
        <v>2678</v>
      </c>
      <c r="B26" s="6" t="s">
        <v>271</v>
      </c>
      <c r="C26" s="9" t="n">
        <f aca="false">COUNTIF(Composants!C:C,A26)</f>
        <v>24</v>
      </c>
      <c r="D26" s="9" t="n">
        <f aca="false">SUMIF(Composants!C:C,A26,Composants!E:E)</f>
        <v>35</v>
      </c>
      <c r="E26" s="9" t="n">
        <f aca="false">COUNTIF(Sources!A:A,A26)</f>
        <v>2</v>
      </c>
      <c r="F26" s="9" t="str">
        <f aca="false">IF(E26&gt;0,"Renseigné","À renseigner")</f>
        <v>Renseigné</v>
      </c>
      <c r="G26" s="9" t="n">
        <f aca="false">SUMIF(Plan_matériaux!$C$2:$C$19,A26,Plan_matériaux!$G$2:$G$19)</f>
        <v>94</v>
      </c>
    </row>
    <row r="27" customFormat="false" ht="15" hidden="false" customHeight="true" outlineLevel="0" collapsed="false">
      <c r="A27" s="6" t="n">
        <v>2692</v>
      </c>
      <c r="B27" s="6" t="s">
        <v>275</v>
      </c>
      <c r="C27" s="9" t="n">
        <f aca="false">COUNTIF(Composants!C:C,A27)</f>
        <v>29</v>
      </c>
      <c r="D27" s="9" t="n">
        <f aca="false">SUMIF(Composants!C:C,A27,Composants!E:E)</f>
        <v>46</v>
      </c>
      <c r="E27" s="9" t="n">
        <f aca="false">COUNTIF(Sources!A:A,A27)</f>
        <v>1</v>
      </c>
      <c r="F27" s="9" t="str">
        <f aca="false">IF(E27&gt;0,"Renseigné","À renseigner")</f>
        <v>Renseigné</v>
      </c>
      <c r="G27" s="9" t="n">
        <f aca="false">SUMIF(Plan_matériaux!$C$2:$C$19,A27,Plan_matériaux!$G$2:$G$19)</f>
        <v>40</v>
      </c>
    </row>
    <row r="28" customFormat="false" ht="15" hidden="false" customHeight="true" outlineLevel="0" collapsed="false">
      <c r="A28" s="6" t="n">
        <v>17194</v>
      </c>
      <c r="B28" s="6" t="s">
        <v>301</v>
      </c>
      <c r="C28" s="9" t="n">
        <f aca="false">COUNTIF(Composants!C:C,A28)</f>
        <v>2</v>
      </c>
      <c r="D28" s="9" t="n">
        <f aca="false">SUMIF(Composants!C:C,A28,Composants!E:E)</f>
        <v>2</v>
      </c>
      <c r="E28" s="9" t="n">
        <f aca="false">COUNTIF(Sources!A:A,A28)</f>
        <v>1</v>
      </c>
      <c r="F28" s="9" t="str">
        <f aca="false">IF(E28&gt;0,"Renseigné","À renseigner")</f>
        <v>Renseigné</v>
      </c>
      <c r="G28" s="9" t="n">
        <f aca="false">SUMIF(Plan_matériaux!$C$2:$C$19,A28,Plan_matériaux!$G$2:$G$19)</f>
        <v>0</v>
      </c>
    </row>
    <row r="29" customFormat="false" ht="15" hidden="false" customHeight="true" outlineLevel="0" collapsed="false">
      <c r="A29" s="6" t="n">
        <v>251524</v>
      </c>
      <c r="B29" s="6" t="s">
        <v>333</v>
      </c>
      <c r="C29" s="9" t="n">
        <f aca="false">COUNTIF(Composants!C:C,A29)</f>
        <v>1</v>
      </c>
      <c r="D29" s="9" t="n">
        <f aca="false">SUMIF(Composants!C:C,A29,Composants!E:E)</f>
        <v>1</v>
      </c>
      <c r="E29" s="9" t="n">
        <f aca="false">COUNTIF(Sources!A:A,A29)</f>
        <v>0</v>
      </c>
      <c r="F29" s="9" t="str">
        <f aca="false">IF(E29&gt;0,"Renseigné","À renseigner")</f>
        <v>À renseigner</v>
      </c>
      <c r="G29" s="9" t="n">
        <f aca="false">SUMIF(Plan_matériaux!$C$2:$C$19,A29,Plan_matériaux!$G$2:$G$19)</f>
        <v>0</v>
      </c>
    </row>
    <row r="30" customFormat="false" ht="15" hidden="false" customHeight="true" outlineLevel="0" collapsed="false">
      <c r="A30" s="6" t="n">
        <v>10284</v>
      </c>
      <c r="B30" s="6" t="s">
        <v>296</v>
      </c>
      <c r="C30" s="9" t="n">
        <f aca="false">COUNTIF(Composants!C:C,A30)</f>
        <v>2</v>
      </c>
      <c r="D30" s="9" t="n">
        <f aca="false">SUMIF(Composants!C:C,A30,Composants!E:E)</f>
        <v>2</v>
      </c>
      <c r="E30" s="9" t="n">
        <f aca="false">COUNTIF(Sources!A:A,A30)</f>
        <v>0</v>
      </c>
      <c r="F30" s="9" t="str">
        <f aca="false">IF(E30&gt;0,"Renseigné","À renseigner")</f>
        <v>À renseigner</v>
      </c>
      <c r="G30" s="9" t="n">
        <f aca="false">SUMIF(Plan_matériaux!$C$2:$C$19,A30,Plan_matériaux!$G$2:$G$19)</f>
        <v>0</v>
      </c>
    </row>
    <row r="31" customFormat="false" ht="15" hidden="false" customHeight="true" outlineLevel="0" collapsed="false">
      <c r="A31" s="6" t="n">
        <v>8959</v>
      </c>
      <c r="B31" s="6" t="s">
        <v>356</v>
      </c>
      <c r="C31" s="9" t="n">
        <f aca="false">COUNTIF(Composants!C:C,A31)</f>
        <v>1</v>
      </c>
      <c r="D31" s="9" t="n">
        <f aca="false">SUMIF(Composants!C:C,A31,Composants!E:E)</f>
        <v>1</v>
      </c>
      <c r="E31" s="9" t="n">
        <f aca="false">COUNTIF(Sources!A:A,A31)</f>
        <v>0</v>
      </c>
      <c r="F31" s="9" t="str">
        <f aca="false">IF(E31&gt;0,"Renseigné","À renseigner")</f>
        <v>À renseigner</v>
      </c>
      <c r="G31" s="9" t="n">
        <f aca="false">SUMIF(Plan_matériaux!$C$2:$C$19,A31,Plan_matériaux!$G$2:$G$19)</f>
        <v>0</v>
      </c>
    </row>
    <row r="32" customFormat="false" ht="15" hidden="false" customHeight="true" outlineLevel="0" collapsed="false">
      <c r="A32" s="6" t="n">
        <v>723</v>
      </c>
      <c r="B32" s="6" t="s">
        <v>321</v>
      </c>
      <c r="C32" s="9" t="n">
        <f aca="false">COUNTIF(Composants!C:C,A32)</f>
        <v>1</v>
      </c>
      <c r="D32" s="9" t="n">
        <f aca="false">SUMIF(Composants!C:C,A32,Composants!E:E)</f>
        <v>1</v>
      </c>
      <c r="E32" s="9" t="n">
        <f aca="false">COUNTIF(Sources!A:A,A32)</f>
        <v>2</v>
      </c>
      <c r="F32" s="9" t="str">
        <f aca="false">IF(E32&gt;0,"Renseigné","À renseigner")</f>
        <v>Renseigné</v>
      </c>
      <c r="G32" s="9" t="n">
        <f aca="false">SUMIF(Plan_matériaux!$C$2:$C$19,A32,Plan_matériaux!$G$2:$G$19)</f>
        <v>0</v>
      </c>
    </row>
    <row r="33" customFormat="false" ht="15" hidden="false" customHeight="true" outlineLevel="0" collapsed="false">
      <c r="A33" s="6" t="n">
        <v>6317</v>
      </c>
      <c r="B33" s="6" t="s">
        <v>317</v>
      </c>
      <c r="C33" s="9" t="n">
        <f aca="false">COUNTIF(Composants!C:C,A33)</f>
        <v>1</v>
      </c>
      <c r="D33" s="9" t="n">
        <f aca="false">SUMIF(Composants!C:C,A33,Composants!E:E)</f>
        <v>1</v>
      </c>
      <c r="E33" s="9" t="n">
        <f aca="false">COUNTIF(Sources!A:A,A33)</f>
        <v>1</v>
      </c>
      <c r="F33" s="9" t="str">
        <f aca="false">IF(E33&gt;0,"Renseigné","À renseigner")</f>
        <v>Renseigné</v>
      </c>
      <c r="G33" s="9" t="n">
        <f aca="false">SUMIF(Plan_matériaux!$C$2:$C$19,A33,Plan_matériaux!$G$2:$G$19)</f>
        <v>0</v>
      </c>
    </row>
    <row r="34" customFormat="false" ht="15" hidden="false" customHeight="true" outlineLevel="0" collapsed="false">
      <c r="A34" s="6" t="n">
        <v>6291</v>
      </c>
      <c r="B34" s="6" t="s">
        <v>302</v>
      </c>
      <c r="C34" s="9" t="n">
        <f aca="false">COUNTIF(Composants!C:C,A34)</f>
        <v>1</v>
      </c>
      <c r="D34" s="9" t="n">
        <f aca="false">SUMIF(Composants!C:C,A34,Composants!E:E)</f>
        <v>1</v>
      </c>
      <c r="E34" s="9" t="n">
        <f aca="false">COUNTIF(Sources!A:A,A34)</f>
        <v>2</v>
      </c>
      <c r="F34" s="9" t="str">
        <f aca="false">IF(E34&gt;0,"Renseigné","À renseigner")</f>
        <v>Renseigné</v>
      </c>
      <c r="G34" s="9" t="n">
        <f aca="false">SUMIF(Plan_matériaux!$C$2:$C$19,A34,Plan_matériaux!$G$2:$G$19)</f>
        <v>0</v>
      </c>
    </row>
    <row r="35" customFormat="false" ht="15" hidden="false" customHeight="true" outlineLevel="0" collapsed="false">
      <c r="A35" s="6" t="n">
        <v>5637</v>
      </c>
      <c r="B35" s="6" t="s">
        <v>350</v>
      </c>
      <c r="C35" s="9" t="n">
        <f aca="false">COUNTIF(Composants!C:C,A35)</f>
        <v>1</v>
      </c>
      <c r="D35" s="9" t="n">
        <f aca="false">SUMIF(Composants!C:C,A35,Composants!E:E)</f>
        <v>1</v>
      </c>
      <c r="E35" s="9" t="n">
        <f aca="false">COUNTIF(Sources!A:A,A35)</f>
        <v>0</v>
      </c>
      <c r="F35" s="9" t="str">
        <f aca="false">IF(E35&gt;0,"Renseigné","À renseigner")</f>
        <v>À renseigner</v>
      </c>
      <c r="G35" s="9" t="n">
        <f aca="false">SUMIF(Plan_matériaux!$C$2:$C$19,A35,Plan_matériaux!$G$2:$G$19)</f>
        <v>0</v>
      </c>
    </row>
    <row r="36" customFormat="false" ht="15" hidden="false" customHeight="true" outlineLevel="0" collapsed="false">
      <c r="A36" s="6" t="n">
        <v>21153</v>
      </c>
      <c r="B36" s="6" t="s">
        <v>362</v>
      </c>
      <c r="C36" s="9" t="n">
        <f aca="false">COUNTIF(Composants!C:C,A36)</f>
        <v>1</v>
      </c>
      <c r="D36" s="9" t="n">
        <f aca="false">SUMIF(Composants!C:C,A36,Composants!E:E)</f>
        <v>1</v>
      </c>
      <c r="E36" s="9" t="n">
        <f aca="false">COUNTIF(Sources!A:A,A36)</f>
        <v>2</v>
      </c>
      <c r="F36" s="9" t="str">
        <f aca="false">IF(E36&gt;0,"Renseigné","À renseigner")</f>
        <v>Renseigné</v>
      </c>
      <c r="G36" s="9" t="n">
        <f aca="false">SUMIF(Plan_matériaux!$C$2:$C$19,A36,Plan_matériaux!$G$2:$G$19)</f>
        <v>0</v>
      </c>
    </row>
    <row r="37" customFormat="false" ht="15" hidden="false" customHeight="true" outlineLevel="0" collapsed="false">
      <c r="A37" s="6" t="n">
        <v>731</v>
      </c>
      <c r="B37" s="6" t="s">
        <v>329</v>
      </c>
      <c r="C37" s="9" t="n">
        <f aca="false">COUNTIF(Composants!C:C,A37)</f>
        <v>1</v>
      </c>
      <c r="D37" s="9" t="n">
        <f aca="false">SUMIF(Composants!C:C,A37,Composants!E:E)</f>
        <v>1</v>
      </c>
      <c r="E37" s="9" t="n">
        <f aca="false">COUNTIF(Sources!A:A,A37)</f>
        <v>1</v>
      </c>
      <c r="F37" s="9" t="str">
        <f aca="false">IF(E37&gt;0,"Renseigné","À renseigner")</f>
        <v>Renseigné</v>
      </c>
      <c r="G37" s="9" t="n">
        <f aca="false">SUMIF(Plan_matériaux!$C$2:$C$19,A37,Plan_matériaux!$G$2:$G$19)</f>
        <v>0</v>
      </c>
    </row>
    <row r="38" customFormat="false" ht="15" hidden="false" customHeight="true" outlineLevel="0" collapsed="false">
      <c r="A38" s="6" t="n">
        <v>3174</v>
      </c>
      <c r="B38" s="6" t="s">
        <v>311</v>
      </c>
      <c r="C38" s="9" t="n">
        <f aca="false">COUNTIF(Composants!C:C,A38)</f>
        <v>2</v>
      </c>
      <c r="D38" s="9" t="n">
        <f aca="false">SUMIF(Composants!C:C,A38,Composants!E:E)</f>
        <v>2</v>
      </c>
      <c r="E38" s="9" t="n">
        <f aca="false">COUNTIF(Sources!A:A,A38)</f>
        <v>1</v>
      </c>
      <c r="F38" s="9" t="str">
        <f aca="false">IF(E38&gt;0,"Renseigné","À renseigner")</f>
        <v>Renseigné</v>
      </c>
      <c r="G38" s="9" t="n">
        <f aca="false">SUMIF(Plan_matériaux!$C$2:$C$19,A38,Plan_matériaux!$G$2:$G$19)</f>
        <v>0</v>
      </c>
    </row>
    <row r="39" customFormat="false" ht="15" hidden="false" customHeight="true" outlineLevel="0" collapsed="false">
      <c r="A39" s="6" t="n">
        <v>4603</v>
      </c>
      <c r="B39" s="6" t="s">
        <v>375</v>
      </c>
      <c r="C39" s="9" t="n">
        <f aca="false">COUNTIF(Composants!C:C,A39)</f>
        <v>1</v>
      </c>
      <c r="D39" s="9" t="n">
        <f aca="false">SUMIF(Composants!C:C,A39,Composants!E:E)</f>
        <v>1</v>
      </c>
      <c r="E39" s="9" t="n">
        <f aca="false">COUNTIF(Sources!A:A,A39)</f>
        <v>5</v>
      </c>
      <c r="F39" s="9" t="str">
        <f aca="false">IF(E39&gt;0,"Renseigné","À renseigner")</f>
        <v>Renseigné</v>
      </c>
      <c r="G39" s="9" t="n">
        <f aca="false">SUMIF(Plan_matériaux!$C$2:$C$19,A39,Plan_matériaux!$G$2:$G$19)</f>
        <v>0</v>
      </c>
    </row>
    <row r="40" customFormat="false" ht="15" hidden="false" customHeight="true" outlineLevel="0" collapsed="false">
      <c r="A40" s="6" t="n">
        <v>1645</v>
      </c>
      <c r="B40" s="6" t="s">
        <v>365</v>
      </c>
      <c r="C40" s="9" t="n">
        <f aca="false">COUNTIF(Composants!C:C,A40)</f>
        <v>2</v>
      </c>
      <c r="D40" s="9" t="n">
        <f aca="false">SUMIF(Composants!C:C,A40,Composants!E:E)</f>
        <v>2</v>
      </c>
      <c r="E40" s="9" t="n">
        <f aca="false">COUNTIF(Sources!A:A,A40)</f>
        <v>1</v>
      </c>
      <c r="F40" s="9" t="str">
        <f aca="false">IF(E40&gt;0,"Renseigné","À renseigner")</f>
        <v>Renseigné</v>
      </c>
      <c r="G40" s="9" t="n">
        <f aca="false">SUMIF(Plan_matériaux!$C$2:$C$19,A40,Plan_matériaux!$G$2:$G$19)</f>
        <v>0</v>
      </c>
    </row>
    <row r="41" customFormat="false" ht="15" hidden="false" customHeight="true" outlineLevel="0" collapsed="false">
      <c r="A41" s="6" t="n">
        <v>1205</v>
      </c>
      <c r="B41" s="6" t="s">
        <v>338</v>
      </c>
      <c r="C41" s="9" t="n">
        <f aca="false">COUNTIF(Composants!C:C,A41)</f>
        <v>2</v>
      </c>
      <c r="D41" s="9" t="n">
        <f aca="false">SUMIF(Composants!C:C,A41,Composants!E:E)</f>
        <v>2</v>
      </c>
      <c r="E41" s="9" t="n">
        <f aca="false">COUNTIF(Sources!A:A,A41)</f>
        <v>1</v>
      </c>
      <c r="F41" s="9" t="str">
        <f aca="false">IF(E41&gt;0,"Renseigné","À renseigner")</f>
        <v>Renseigné</v>
      </c>
      <c r="G41" s="9" t="n">
        <f aca="false">SUMIF(Plan_matériaux!$C$2:$C$19,A41,Plan_matériaux!$G$2:$G$19)</f>
        <v>0</v>
      </c>
    </row>
    <row r="42" customFormat="false" ht="15" hidden="false" customHeight="true" outlineLevel="0" collapsed="false">
      <c r="A42" s="6" t="n">
        <v>1179</v>
      </c>
      <c r="B42" s="6" t="s">
        <v>308</v>
      </c>
      <c r="C42" s="9" t="n">
        <f aca="false">COUNTIF(Composants!C:C,A42)</f>
        <v>5</v>
      </c>
      <c r="D42" s="9" t="n">
        <f aca="false">SUMIF(Composants!C:C,A42,Composants!E:E)</f>
        <v>5</v>
      </c>
      <c r="E42" s="9" t="n">
        <f aca="false">COUNTIF(Sources!A:A,A42)</f>
        <v>1</v>
      </c>
      <c r="F42" s="9" t="str">
        <f aca="false">IF(E42&gt;0,"Renseigné","À renseigner")</f>
        <v>Renseigné</v>
      </c>
      <c r="G42" s="9" t="n">
        <f aca="false">SUMIF(Plan_matériaux!$C$2:$C$19,A42,Plan_matériaux!$G$2:$G$19)</f>
        <v>0</v>
      </c>
    </row>
    <row r="43" customFormat="false" ht="15" hidden="false" customHeight="true" outlineLevel="0" collapsed="false">
      <c r="A43" s="6" t="n">
        <v>6289</v>
      </c>
      <c r="B43" s="6" t="s">
        <v>319</v>
      </c>
      <c r="C43" s="9" t="n">
        <f aca="false">COUNTIF(Composants!C:C,A43)</f>
        <v>1</v>
      </c>
      <c r="D43" s="9" t="n">
        <f aca="false">SUMIF(Composants!C:C,A43,Composants!E:E)</f>
        <v>1</v>
      </c>
      <c r="E43" s="9" t="n">
        <f aca="false">COUNTIF(Sources!A:A,A43)</f>
        <v>1</v>
      </c>
      <c r="F43" s="9" t="str">
        <f aca="false">IF(E43&gt;0,"Renseigné","À renseigner")</f>
        <v>Renseigné</v>
      </c>
      <c r="G43" s="9" t="n">
        <f aca="false">SUMIF(Plan_matériaux!$C$2:$C$19,A43,Plan_matériaux!$G$2:$G$19)</f>
        <v>0</v>
      </c>
    </row>
    <row r="44" customFormat="false" ht="15" hidden="false" customHeight="true" outlineLevel="0" collapsed="false">
      <c r="A44" s="6" t="n">
        <v>785</v>
      </c>
      <c r="B44" s="6" t="s">
        <v>312</v>
      </c>
      <c r="C44" s="9" t="n">
        <f aca="false">COUNTIF(Composants!C:C,A44)</f>
        <v>1</v>
      </c>
      <c r="D44" s="9" t="n">
        <f aca="false">SUMIF(Composants!C:C,A44,Composants!E:E)</f>
        <v>2</v>
      </c>
      <c r="E44" s="9" t="n">
        <f aca="false">COUNTIF(Sources!A:A,A44)</f>
        <v>0</v>
      </c>
      <c r="F44" s="9" t="str">
        <f aca="false">IF(E44&gt;0,"Renseigné","À renseigner")</f>
        <v>À renseigner</v>
      </c>
      <c r="G44" s="9" t="n">
        <f aca="false">SUMIF(Plan_matériaux!$C$2:$C$19,A44,Plan_matériaux!$G$2:$G$19)</f>
        <v>0</v>
      </c>
    </row>
    <row r="45" customFormat="false" ht="15" hidden="false" customHeight="true" outlineLevel="0" collapsed="false">
      <c r="A45" s="6" t="n">
        <v>6303</v>
      </c>
      <c r="B45" s="6" t="s">
        <v>303</v>
      </c>
      <c r="C45" s="9" t="n">
        <f aca="false">COUNTIF(Composants!C:C,A45)</f>
        <v>1</v>
      </c>
      <c r="D45" s="9" t="n">
        <f aca="false">SUMIF(Composants!C:C,A45,Composants!E:E)</f>
        <v>1</v>
      </c>
      <c r="E45" s="9" t="n">
        <f aca="false">COUNTIF(Sources!A:A,A45)</f>
        <v>2</v>
      </c>
      <c r="F45" s="9" t="str">
        <f aca="false">IF(E45&gt;0,"Renseigné","À renseigner")</f>
        <v>Renseigné</v>
      </c>
      <c r="G45" s="9" t="n">
        <f aca="false">SUMIF(Plan_matériaux!$C$2:$C$19,A45,Plan_matériaux!$G$2:$G$19)</f>
        <v>0</v>
      </c>
    </row>
    <row r="46" customFormat="false" ht="15" hidden="false" customHeight="true" outlineLevel="0" collapsed="false">
      <c r="A46" s="6" t="n">
        <v>769</v>
      </c>
      <c r="B46" s="6" t="s">
        <v>278</v>
      </c>
      <c r="C46" s="9" t="n">
        <f aca="false">COUNTIF(Composants!C:C,A46)</f>
        <v>2</v>
      </c>
      <c r="D46" s="9" t="n">
        <f aca="false">SUMIF(Composants!C:C,A46,Composants!E:E)</f>
        <v>3</v>
      </c>
      <c r="E46" s="9" t="n">
        <f aca="false">COUNTIF(Sources!A:A,A46)</f>
        <v>3</v>
      </c>
      <c r="F46" s="9" t="str">
        <f aca="false">IF(E46&gt;0,"Renseigné","À renseigner")</f>
        <v>Renseigné</v>
      </c>
      <c r="G46" s="9" t="n">
        <f aca="false">SUMIF(Plan_matériaux!$C$2:$C$19,A46,Plan_matériaux!$G$2:$G$19)</f>
        <v>20</v>
      </c>
    </row>
    <row r="47" customFormat="false" ht="15" hidden="false" customHeight="true" outlineLevel="0" collapsed="false">
      <c r="A47" s="6" t="n">
        <v>6362</v>
      </c>
      <c r="B47" s="6" t="s">
        <v>351</v>
      </c>
      <c r="C47" s="9" t="n">
        <f aca="false">COUNTIF(Composants!C:C,A47)</f>
        <v>1</v>
      </c>
      <c r="D47" s="9" t="n">
        <f aca="false">SUMIF(Composants!C:C,A47,Composants!E:E)</f>
        <v>1</v>
      </c>
      <c r="E47" s="9" t="n">
        <f aca="false">COUNTIF(Sources!A:A,A47)</f>
        <v>5</v>
      </c>
      <c r="F47" s="9" t="str">
        <f aca="false">IF(E47&gt;0,"Renseigné","À renseigner")</f>
        <v>Renseigné</v>
      </c>
      <c r="G47" s="9" t="n">
        <f aca="false">SUMIF(Plan_matériaux!$C$2:$C$19,A47,Plan_matériaux!$G$2:$G$19)</f>
        <v>0</v>
      </c>
    </row>
    <row r="48" customFormat="false" ht="15" hidden="false" customHeight="true" outlineLevel="0" collapsed="false">
      <c r="A48" s="6" t="n">
        <v>1708</v>
      </c>
      <c r="B48" s="6" t="s">
        <v>349</v>
      </c>
      <c r="C48" s="9" t="n">
        <f aca="false">COUNTIF(Composants!C:C,A48)</f>
        <v>2</v>
      </c>
      <c r="D48" s="9" t="n">
        <f aca="false">SUMIF(Composants!C:C,A48,Composants!E:E)</f>
        <v>2</v>
      </c>
      <c r="E48" s="9" t="n">
        <f aca="false">COUNTIF(Sources!A:A,A48)</f>
        <v>1</v>
      </c>
      <c r="F48" s="9" t="str">
        <f aca="false">IF(E48&gt;0,"Renseigné","À renseigner")</f>
        <v>Renseigné</v>
      </c>
      <c r="G48" s="9" t="n">
        <f aca="false">SUMIF(Plan_matériaux!$C$2:$C$19,A48,Plan_matériaux!$G$2:$G$19)</f>
        <v>0</v>
      </c>
    </row>
    <row r="49" customFormat="false" ht="15" hidden="false" customHeight="true" outlineLevel="0" collapsed="false">
      <c r="A49" s="6" t="n">
        <v>730</v>
      </c>
      <c r="B49" s="6" t="s">
        <v>328</v>
      </c>
      <c r="C49" s="9" t="n">
        <f aca="false">COUNTIF(Composants!C:C,A49)</f>
        <v>2</v>
      </c>
      <c r="D49" s="9" t="n">
        <f aca="false">SUMIF(Composants!C:C,A49,Composants!E:E)</f>
        <v>3</v>
      </c>
      <c r="E49" s="9" t="n">
        <f aca="false">COUNTIF(Sources!A:A,A49)</f>
        <v>1</v>
      </c>
      <c r="F49" s="9" t="str">
        <f aca="false">IF(E49&gt;0,"Renseigné","À renseigner")</f>
        <v>Renseigné</v>
      </c>
      <c r="G49" s="9" t="n">
        <f aca="false">SUMIF(Plan_matériaux!$C$2:$C$19,A49,Plan_matériaux!$G$2:$G$19)</f>
        <v>0</v>
      </c>
    </row>
    <row r="50" customFormat="false" ht="15" hidden="false" customHeight="true" outlineLevel="0" collapsed="false">
      <c r="A50" s="6" t="n">
        <v>3685</v>
      </c>
      <c r="B50" s="6" t="s">
        <v>299</v>
      </c>
      <c r="C50" s="9" t="n">
        <f aca="false">COUNTIF(Composants!C:C,A50)</f>
        <v>2</v>
      </c>
      <c r="D50" s="9" t="n">
        <f aca="false">SUMIF(Composants!C:C,A50,Composants!E:E)</f>
        <v>2</v>
      </c>
      <c r="E50" s="9" t="n">
        <f aca="false">COUNTIF(Sources!A:A,A50)</f>
        <v>3</v>
      </c>
      <c r="F50" s="9" t="str">
        <f aca="false">IF(E50&gt;0,"Renseigné","À renseigner")</f>
        <v>Renseigné</v>
      </c>
      <c r="G50" s="9" t="n">
        <f aca="false">SUMIF(Plan_matériaux!$C$2:$C$19,A50,Plan_matériaux!$G$2:$G$19)</f>
        <v>0</v>
      </c>
    </row>
    <row r="51" customFormat="false" ht="15" hidden="false" customHeight="true" outlineLevel="0" collapsed="false">
      <c r="A51" s="6" t="n">
        <v>12207</v>
      </c>
      <c r="B51" s="6" t="s">
        <v>352</v>
      </c>
      <c r="C51" s="9" t="n">
        <f aca="false">COUNTIF(Composants!C:C,A51)</f>
        <v>3</v>
      </c>
      <c r="D51" s="9" t="n">
        <f aca="false">SUMIF(Composants!C:C,A51,Composants!E:E)</f>
        <v>5</v>
      </c>
      <c r="E51" s="9" t="n">
        <f aca="false">COUNTIF(Sources!A:A,A51)</f>
        <v>2</v>
      </c>
      <c r="F51" s="9" t="str">
        <f aca="false">IF(E51&gt;0,"Renseigné","À renseigner")</f>
        <v>Renseigné</v>
      </c>
      <c r="G51" s="9" t="n">
        <f aca="false">SUMIF(Plan_matériaux!$C$2:$C$19,A51,Plan_matériaux!$G$2:$G$19)</f>
        <v>0</v>
      </c>
    </row>
    <row r="52" customFormat="false" ht="15" hidden="false" customHeight="true" outlineLevel="0" collapsed="false">
      <c r="A52" s="6" t="n">
        <v>2596</v>
      </c>
      <c r="B52" s="6" t="s">
        <v>363</v>
      </c>
      <c r="C52" s="9" t="n">
        <f aca="false">COUNTIF(Composants!C:C,A52)</f>
        <v>1</v>
      </c>
      <c r="D52" s="9" t="n">
        <f aca="false">SUMIF(Composants!C:C,A52,Composants!E:E)</f>
        <v>1</v>
      </c>
      <c r="E52" s="9" t="n">
        <f aca="false">COUNTIF(Sources!A:A,A52)</f>
        <v>0</v>
      </c>
      <c r="F52" s="9" t="str">
        <f aca="false">IF(E52&gt;0,"Renseigné","À renseigner")</f>
        <v>À renseigner</v>
      </c>
      <c r="G52" s="9" t="n">
        <f aca="false">SUMIF(Plan_matériaux!$C$2:$C$19,A52,Plan_matériaux!$G$2:$G$19)</f>
        <v>0</v>
      </c>
    </row>
    <row r="53" customFormat="false" ht="15" hidden="false" customHeight="true" outlineLevel="0" collapsed="false">
      <c r="A53" s="6" t="n">
        <v>2447</v>
      </c>
      <c r="B53" s="6" t="s">
        <v>297</v>
      </c>
      <c r="C53" s="9" t="n">
        <f aca="false">COUNTIF(Composants!C:C,A53)</f>
        <v>1</v>
      </c>
      <c r="D53" s="9" t="n">
        <f aca="false">SUMIF(Composants!C:C,A53,Composants!E:E)</f>
        <v>2</v>
      </c>
      <c r="E53" s="9" t="n">
        <f aca="false">COUNTIF(Sources!A:A,A53)</f>
        <v>0</v>
      </c>
      <c r="F53" s="9" t="str">
        <f aca="false">IF(E53&gt;0,"Renseigné","À renseigner")</f>
        <v>À renseigner</v>
      </c>
      <c r="G53" s="9" t="n">
        <f aca="false">SUMIF(Plan_matériaux!$C$2:$C$19,A53,Plan_matériaux!$G$2:$G$19)</f>
        <v>0</v>
      </c>
    </row>
    <row r="54" customFormat="false" ht="15" hidden="false" customHeight="true" outlineLevel="0" collapsed="false">
      <c r="A54" s="6" t="n">
        <v>2251</v>
      </c>
      <c r="B54" s="6" t="s">
        <v>344</v>
      </c>
      <c r="C54" s="9" t="n">
        <f aca="false">COUNTIF(Composants!C:C,A54)</f>
        <v>1</v>
      </c>
      <c r="D54" s="9" t="n">
        <f aca="false">SUMIF(Composants!C:C,A54,Composants!E:E)</f>
        <v>2</v>
      </c>
      <c r="E54" s="9" t="n">
        <f aca="false">COUNTIF(Sources!A:A,A54)</f>
        <v>1</v>
      </c>
      <c r="F54" s="9" t="str">
        <f aca="false">IF(E54&gt;0,"Renseigné","À renseigner")</f>
        <v>Renseigné</v>
      </c>
      <c r="G54" s="9" t="n">
        <f aca="false">SUMIF(Plan_matériaux!$C$2:$C$19,A54,Plan_matériaux!$G$2:$G$19)</f>
        <v>0</v>
      </c>
    </row>
    <row r="55" customFormat="false" ht="15" hidden="false" customHeight="true" outlineLevel="0" collapsed="false">
      <c r="A55" s="6" t="n">
        <v>6889</v>
      </c>
      <c r="B55" s="6" t="s">
        <v>295</v>
      </c>
      <c r="C55" s="9" t="n">
        <f aca="false">COUNTIF(Composants!C:C,A55)</f>
        <v>5</v>
      </c>
      <c r="D55" s="9" t="n">
        <f aca="false">SUMIF(Composants!C:C,A55,Composants!E:E)</f>
        <v>6</v>
      </c>
      <c r="E55" s="9" t="n">
        <f aca="false">COUNTIF(Sources!A:A,A55)</f>
        <v>4</v>
      </c>
      <c r="F55" s="9" t="str">
        <f aca="false">IF(E55&gt;0,"Renseigné","À renseigner")</f>
        <v>Renseigné</v>
      </c>
      <c r="G55" s="9" t="n">
        <f aca="false">SUMIF(Plan_matériaux!$C$2:$C$19,A55,Plan_matériaux!$G$2:$G$19)</f>
        <v>0</v>
      </c>
    </row>
    <row r="56" customFormat="false" ht="15" hidden="false" customHeight="true" outlineLevel="0" collapsed="false">
      <c r="A56" s="6" t="n">
        <v>4402</v>
      </c>
      <c r="B56" s="6" t="s">
        <v>366</v>
      </c>
      <c r="C56" s="9" t="n">
        <f aca="false">COUNTIF(Composants!C:C,A56)</f>
        <v>2</v>
      </c>
      <c r="D56" s="9" t="n">
        <f aca="false">SUMIF(Composants!C:C,A56,Composants!E:E)</f>
        <v>2</v>
      </c>
      <c r="E56" s="9" t="n">
        <f aca="false">COUNTIF(Sources!A:A,A56)</f>
        <v>3</v>
      </c>
      <c r="F56" s="9" t="str">
        <f aca="false">IF(E56&gt;0,"Renseigné","À renseigner")</f>
        <v>Renseigné</v>
      </c>
      <c r="G56" s="9" t="n">
        <f aca="false">SUMIF(Plan_matériaux!$C$2:$C$19,A56,Plan_matériaux!$G$2:$G$19)</f>
        <v>0</v>
      </c>
    </row>
    <row r="57" customFormat="false" ht="15" hidden="false" customHeight="true" outlineLevel="0" collapsed="false">
      <c r="A57" s="6" t="n">
        <v>1475</v>
      </c>
      <c r="B57" s="6" t="s">
        <v>294</v>
      </c>
      <c r="C57" s="9" t="n">
        <f aca="false">COUNTIF(Composants!C:C,A57)</f>
        <v>1</v>
      </c>
      <c r="D57" s="9" t="n">
        <f aca="false">SUMIF(Composants!C:C,A57,Composants!E:E)</f>
        <v>1</v>
      </c>
      <c r="E57" s="9" t="n">
        <f aca="false">COUNTIF(Sources!A:A,A57)</f>
        <v>0</v>
      </c>
      <c r="F57" s="9" t="str">
        <f aca="false">IF(E57&gt;0,"Renseigné","À renseigner")</f>
        <v>À renseigner</v>
      </c>
      <c r="G57" s="9" t="n">
        <f aca="false">SUMIF(Plan_matériaux!$C$2:$C$19,A57,Plan_matériaux!$G$2:$G$19)</f>
        <v>0</v>
      </c>
    </row>
    <row r="58" customFormat="false" ht="15" hidden="false" customHeight="true" outlineLevel="0" collapsed="false">
      <c r="A58" s="6" t="n">
        <v>5465</v>
      </c>
      <c r="B58" s="6" t="s">
        <v>304</v>
      </c>
      <c r="C58" s="9" t="n">
        <f aca="false">COUNTIF(Composants!C:C,A58)</f>
        <v>1</v>
      </c>
      <c r="D58" s="9" t="n">
        <f aca="false">SUMIF(Composants!C:C,A58,Composants!E:E)</f>
        <v>1</v>
      </c>
      <c r="E58" s="9" t="n">
        <f aca="false">COUNTIF(Sources!A:A,A58)</f>
        <v>1</v>
      </c>
      <c r="F58" s="9" t="str">
        <f aca="false">IF(E58&gt;0,"Renseigné","À renseigner")</f>
        <v>Renseigné</v>
      </c>
      <c r="G58" s="9" t="n">
        <f aca="false">SUMIF(Plan_matériaux!$C$2:$C$19,A58,Plan_matériaux!$G$2:$G$19)</f>
        <v>0</v>
      </c>
    </row>
    <row r="59" customFormat="false" ht="15" hidden="false" customHeight="true" outlineLevel="0" collapsed="false">
      <c r="A59" s="6" t="n">
        <v>2675</v>
      </c>
      <c r="B59" s="6" t="s">
        <v>298</v>
      </c>
      <c r="C59" s="9" t="n">
        <f aca="false">COUNTIF(Composants!C:C,A59)</f>
        <v>2</v>
      </c>
      <c r="D59" s="9" t="n">
        <f aca="false">SUMIF(Composants!C:C,A59,Composants!E:E)</f>
        <v>2</v>
      </c>
      <c r="E59" s="9" t="n">
        <f aca="false">COUNTIF(Sources!A:A,A59)</f>
        <v>3</v>
      </c>
      <c r="F59" s="9" t="str">
        <f aca="false">IF(E59&gt;0,"Renseigné","À renseigner")</f>
        <v>Renseigné</v>
      </c>
      <c r="G59" s="9" t="n">
        <f aca="false">SUMIF(Plan_matériaux!$C$2:$C$19,A59,Plan_matériaux!$G$2:$G$19)</f>
        <v>0</v>
      </c>
    </row>
    <row r="60" customFormat="false" ht="15" hidden="false" customHeight="true" outlineLevel="0" collapsed="false">
      <c r="A60" s="6" t="n">
        <v>13890</v>
      </c>
      <c r="B60" s="6" t="s">
        <v>371</v>
      </c>
      <c r="C60" s="9" t="n">
        <f aca="false">COUNTIF(Composants!C:C,A60)</f>
        <v>1</v>
      </c>
      <c r="D60" s="9" t="n">
        <f aca="false">SUMIF(Composants!C:C,A60,Composants!E:E)</f>
        <v>1</v>
      </c>
      <c r="E60" s="9" t="n">
        <f aca="false">COUNTIF(Sources!A:A,A60)</f>
        <v>0</v>
      </c>
      <c r="F60" s="9" t="str">
        <f aca="false">IF(E60&gt;0,"Renseigné","À renseigner")</f>
        <v>À renseigner</v>
      </c>
      <c r="G60" s="9" t="n">
        <f aca="false">SUMIF(Plan_matériaux!$C$2:$C$19,A60,Plan_matériaux!$G$2:$G$19)</f>
        <v>0</v>
      </c>
    </row>
    <row r="61" customFormat="false" ht="15" hidden="false" customHeight="true" outlineLevel="0" collapsed="false">
      <c r="A61" s="6" t="n">
        <v>6522</v>
      </c>
      <c r="B61" s="6" t="s">
        <v>332</v>
      </c>
      <c r="C61" s="9" t="n">
        <f aca="false">COUNTIF(Composants!C:C,A61)</f>
        <v>1</v>
      </c>
      <c r="D61" s="9" t="n">
        <f aca="false">SUMIF(Composants!C:C,A61,Composants!E:E)</f>
        <v>1</v>
      </c>
      <c r="E61" s="9" t="n">
        <f aca="false">COUNTIF(Sources!A:A,A61)</f>
        <v>1</v>
      </c>
      <c r="F61" s="9" t="str">
        <f aca="false">IF(E61&gt;0,"Renseigné","À renseigner")</f>
        <v>Renseigné</v>
      </c>
      <c r="G61" s="9" t="n">
        <f aca="false">SUMIF(Plan_matériaux!$C$2:$C$19,A61,Plan_matériaux!$G$2:$G$19)</f>
        <v>0</v>
      </c>
    </row>
    <row r="62" customFormat="false" ht="15" hidden="false" customHeight="true" outlineLevel="0" collapsed="false">
      <c r="A62" s="6" t="n">
        <v>6308</v>
      </c>
      <c r="B62" s="6" t="s">
        <v>339</v>
      </c>
      <c r="C62" s="9" t="n">
        <f aca="false">COUNTIF(Composants!C:C,A62)</f>
        <v>1</v>
      </c>
      <c r="D62" s="9" t="n">
        <f aca="false">SUMIF(Composants!C:C,A62,Composants!E:E)</f>
        <v>1</v>
      </c>
      <c r="E62" s="9" t="n">
        <f aca="false">COUNTIF(Sources!A:A,A62)</f>
        <v>7</v>
      </c>
      <c r="F62" s="9" t="str">
        <f aca="false">IF(E62&gt;0,"Renseigné","À renseigner")</f>
        <v>Renseigné</v>
      </c>
      <c r="G62" s="9" t="n">
        <f aca="false">SUMIF(Plan_matériaux!$C$2:$C$19,A62,Plan_matériaux!$G$2:$G$19)</f>
        <v>0</v>
      </c>
    </row>
    <row r="63" customFormat="false" ht="15" hidden="false" customHeight="true" outlineLevel="0" collapsed="false">
      <c r="A63" s="6" t="n">
        <v>4536</v>
      </c>
      <c r="B63" s="6" t="s">
        <v>316</v>
      </c>
      <c r="C63" s="9" t="n">
        <f aca="false">COUNTIF(Composants!C:C,A63)</f>
        <v>2</v>
      </c>
      <c r="D63" s="9" t="n">
        <f aca="false">SUMIF(Composants!C:C,A63,Composants!E:E)</f>
        <v>3</v>
      </c>
      <c r="E63" s="9" t="n">
        <f aca="false">COUNTIF(Sources!A:A,A63)</f>
        <v>2</v>
      </c>
      <c r="F63" s="9" t="str">
        <f aca="false">IF(E63&gt;0,"Renseigné","À renseigner")</f>
        <v>Renseigné</v>
      </c>
      <c r="G63" s="9" t="n">
        <f aca="false">SUMIF(Plan_matériaux!$C$2:$C$19,A63,Plan_matériaux!$G$2:$G$19)</f>
        <v>0</v>
      </c>
    </row>
    <row r="64" customFormat="false" ht="15" hidden="false" customHeight="true" outlineLevel="0" collapsed="false">
      <c r="A64" s="6" t="n">
        <v>3818</v>
      </c>
      <c r="B64" s="6" t="s">
        <v>353</v>
      </c>
      <c r="C64" s="9" t="n">
        <f aca="false">COUNTIF(Composants!C:C,A64)</f>
        <v>1</v>
      </c>
      <c r="D64" s="9" t="n">
        <f aca="false">SUMIF(Composants!C:C,A64,Composants!E:E)</f>
        <v>2</v>
      </c>
      <c r="E64" s="9" t="n">
        <f aca="false">COUNTIF(Sources!A:A,A64)</f>
        <v>0</v>
      </c>
      <c r="F64" s="9" t="str">
        <f aca="false">IF(E64&gt;0,"Renseigné","À renseigner")</f>
        <v>À renseigner</v>
      </c>
      <c r="G64" s="9" t="n">
        <f aca="false">SUMIF(Plan_matériaux!$C$2:$C$19,A64,Plan_matériaux!$G$2:$G$19)</f>
        <v>0</v>
      </c>
    </row>
    <row r="65" customFormat="false" ht="15" hidden="false" customHeight="true" outlineLevel="0" collapsed="false">
      <c r="A65" s="6" t="n">
        <v>5470</v>
      </c>
      <c r="B65" s="6" t="s">
        <v>340</v>
      </c>
      <c r="C65" s="9" t="n">
        <f aca="false">COUNTIF(Composants!C:C,A65)</f>
        <v>1</v>
      </c>
      <c r="D65" s="9" t="n">
        <f aca="false">SUMIF(Composants!C:C,A65,Composants!E:E)</f>
        <v>1</v>
      </c>
      <c r="E65" s="9" t="n">
        <f aca="false">COUNTIF(Sources!A:A,A65)</f>
        <v>1</v>
      </c>
      <c r="F65" s="9" t="str">
        <f aca="false">IF(E65&gt;0,"Renseigné","À renseigner")</f>
        <v>Renseigné</v>
      </c>
      <c r="G65" s="9" t="n">
        <f aca="false">SUMIF(Plan_matériaux!$C$2:$C$19,A65,Plan_matériaux!$G$2:$G$19)</f>
        <v>0</v>
      </c>
    </row>
    <row r="66" customFormat="false" ht="15" hidden="false" customHeight="true" outlineLevel="0" collapsed="false">
      <c r="A66" s="6" t="n">
        <v>5051</v>
      </c>
      <c r="B66" s="6" t="s">
        <v>334</v>
      </c>
      <c r="C66" s="9" t="n">
        <f aca="false">COUNTIF(Composants!C:C,A66)</f>
        <v>1</v>
      </c>
      <c r="D66" s="9" t="n">
        <f aca="false">SUMIF(Composants!C:C,A66,Composants!E:E)</f>
        <v>1</v>
      </c>
      <c r="E66" s="9" t="n">
        <f aca="false">COUNTIF(Sources!A:A,A66)</f>
        <v>1</v>
      </c>
      <c r="F66" s="9" t="str">
        <f aca="false">IF(E66&gt;0,"Renseigné","À renseigner")</f>
        <v>Renseigné</v>
      </c>
      <c r="G66" s="9" t="n">
        <f aca="false">SUMIF(Plan_matériaux!$C$2:$C$19,A66,Plan_matériaux!$G$2:$G$19)</f>
        <v>0</v>
      </c>
    </row>
    <row r="67" customFormat="false" ht="15" hidden="false" customHeight="true" outlineLevel="0" collapsed="false">
      <c r="A67" s="6" t="n">
        <v>13758</v>
      </c>
      <c r="B67" s="6" t="s">
        <v>374</v>
      </c>
      <c r="C67" s="9" t="n">
        <f aca="false">COUNTIF(Composants!C:C,A67)</f>
        <v>1</v>
      </c>
      <c r="D67" s="9" t="n">
        <f aca="false">SUMIF(Composants!C:C,A67,Composants!E:E)</f>
        <v>1</v>
      </c>
      <c r="E67" s="9" t="n">
        <f aca="false">COUNTIF(Sources!A:A,A67)</f>
        <v>6</v>
      </c>
      <c r="F67" s="9" t="str">
        <f aca="false">IF(E67&gt;0,"Renseigné","À renseigner")</f>
        <v>Renseigné</v>
      </c>
      <c r="G67" s="9" t="n">
        <f aca="false">SUMIF(Plan_matériaux!$C$2:$C$19,A67,Plan_matériaux!$G$2:$G$19)</f>
        <v>0</v>
      </c>
    </row>
    <row r="68" customFormat="false" ht="15" hidden="false" customHeight="true" outlineLevel="0" collapsed="false">
      <c r="A68" s="6" t="n">
        <v>21071</v>
      </c>
      <c r="B68" s="6" t="s">
        <v>330</v>
      </c>
      <c r="C68" s="9" t="n">
        <f aca="false">COUNTIF(Composants!C:C,A68)</f>
        <v>1</v>
      </c>
      <c r="D68" s="9" t="n">
        <f aca="false">SUMIF(Composants!C:C,A68,Composants!E:E)</f>
        <v>1</v>
      </c>
      <c r="E68" s="9" t="n">
        <f aca="false">COUNTIF(Sources!A:A,A68)</f>
        <v>5</v>
      </c>
      <c r="F68" s="9" t="str">
        <f aca="false">IF(E68&gt;0,"Renseigné","À renseigner")</f>
        <v>Renseigné</v>
      </c>
      <c r="G68" s="9" t="n">
        <f aca="false">SUMIF(Plan_matériaux!$C$2:$C$19,A68,Plan_matériaux!$G$2:$G$19)</f>
        <v>0</v>
      </c>
    </row>
    <row r="69" customFormat="false" ht="15" hidden="false" customHeight="true" outlineLevel="0" collapsed="false">
      <c r="A69" s="6" t="n">
        <v>13465</v>
      </c>
      <c r="B69" s="6" t="s">
        <v>373</v>
      </c>
      <c r="C69" s="9" t="n">
        <f aca="false">COUNTIF(Composants!C:C,A69)</f>
        <v>1</v>
      </c>
      <c r="D69" s="9" t="n">
        <f aca="false">SUMIF(Composants!C:C,A69,Composants!E:E)</f>
        <v>2</v>
      </c>
      <c r="E69" s="9" t="n">
        <f aca="false">COUNTIF(Sources!A:A,A69)</f>
        <v>0</v>
      </c>
      <c r="F69" s="9" t="str">
        <f aca="false">IF(E69&gt;0,"Renseigné","À renseigner")</f>
        <v>À renseigner</v>
      </c>
      <c r="G69" s="9" t="n">
        <f aca="false">SUMIF(Plan_matériaux!$C$2:$C$19,A69,Plan_matériaux!$G$2:$G$19)</f>
        <v>0</v>
      </c>
    </row>
    <row r="70" customFormat="false" ht="15" hidden="false" customHeight="true" outlineLevel="0" collapsed="false">
      <c r="A70" s="6" t="n">
        <v>239016</v>
      </c>
      <c r="B70" s="6" t="s">
        <v>372</v>
      </c>
      <c r="C70" s="9" t="n">
        <f aca="false">COUNTIF(Composants!C:C,A70)</f>
        <v>3</v>
      </c>
      <c r="D70" s="9" t="n">
        <f aca="false">SUMIF(Composants!C:C,A70,Composants!E:E)</f>
        <v>3</v>
      </c>
      <c r="E70" s="9" t="n">
        <f aca="false">COUNTIF(Sources!A:A,A70)</f>
        <v>0</v>
      </c>
      <c r="F70" s="9" t="str">
        <f aca="false">IF(E70&gt;0,"Renseigné","À renseigner")</f>
        <v>À renseigner</v>
      </c>
      <c r="G70" s="9" t="n">
        <f aca="false">SUMIF(Plan_matériaux!$C$2:$C$19,A70,Plan_matériaux!$G$2:$G$19)</f>
        <v>0</v>
      </c>
    </row>
    <row r="71" customFormat="false" ht="15" hidden="false" customHeight="true" outlineLevel="0" collapsed="false">
      <c r="A71" s="6" t="n">
        <v>8146</v>
      </c>
      <c r="B71" s="6" t="s">
        <v>370</v>
      </c>
      <c r="C71" s="9" t="n">
        <f aca="false">COUNTIF(Composants!C:C,A71)</f>
        <v>1</v>
      </c>
      <c r="D71" s="9" t="n">
        <f aca="false">SUMIF(Composants!C:C,A71,Composants!E:E)</f>
        <v>1</v>
      </c>
      <c r="E71" s="9" t="n">
        <f aca="false">COUNTIF(Sources!A:A,A71)</f>
        <v>0</v>
      </c>
      <c r="F71" s="9" t="str">
        <f aca="false">IF(E71&gt;0,"Renseigné","À renseigner")</f>
        <v>À renseigner</v>
      </c>
      <c r="G71" s="9" t="n">
        <f aca="false">SUMIF(Plan_matériaux!$C$2:$C$19,A71,Plan_matériaux!$G$2:$G$19)</f>
        <v>0</v>
      </c>
    </row>
    <row r="72" customFormat="false" ht="15" hidden="false" customHeight="true" outlineLevel="0" collapsed="false">
      <c r="A72" s="6" t="n">
        <v>8838</v>
      </c>
      <c r="B72" s="6" t="s">
        <v>368</v>
      </c>
      <c r="C72" s="9" t="n">
        <f aca="false">COUNTIF(Composants!C:C,A72)</f>
        <v>1</v>
      </c>
      <c r="D72" s="9" t="n">
        <f aca="false">SUMIF(Composants!C:C,A72,Composants!E:E)</f>
        <v>2</v>
      </c>
      <c r="E72" s="9" t="n">
        <f aca="false">COUNTIF(Sources!A:A,A72)</f>
        <v>0</v>
      </c>
      <c r="F72" s="9" t="str">
        <f aca="false">IF(E72&gt;0,"Renseigné","À renseigner")</f>
        <v>À renseigner</v>
      </c>
      <c r="G72" s="9" t="n">
        <f aca="false">SUMIF(Plan_matériaux!$C$2:$C$19,A72,Plan_matériaux!$G$2:$G$19)</f>
        <v>0</v>
      </c>
    </row>
    <row r="73" customFormat="false" ht="15" hidden="false" customHeight="true" outlineLevel="0" collapsed="false">
      <c r="A73" s="6" t="n">
        <v>8766</v>
      </c>
      <c r="B73" s="6" t="s">
        <v>369</v>
      </c>
      <c r="C73" s="9" t="n">
        <f aca="false">COUNTIF(Composants!C:C,A73)</f>
        <v>2</v>
      </c>
      <c r="D73" s="9" t="n">
        <f aca="false">SUMIF(Composants!C:C,A73,Composants!E:E)</f>
        <v>2</v>
      </c>
      <c r="E73" s="9" t="n">
        <f aca="false">COUNTIF(Sources!A:A,A73)</f>
        <v>1</v>
      </c>
      <c r="F73" s="9" t="str">
        <f aca="false">IF(E73&gt;0,"Renseigné","À renseigner")</f>
        <v>Renseigné</v>
      </c>
      <c r="G73" s="9" t="n">
        <f aca="false">SUMIF(Plan_matériaux!$C$2:$C$19,A73,Plan_matériaux!$G$2:$G$19)</f>
        <v>0</v>
      </c>
    </row>
    <row r="74" customFormat="false" ht="15" hidden="false" customHeight="true" outlineLevel="0" collapsed="false">
      <c r="A74" s="6" t="n">
        <v>1015</v>
      </c>
      <c r="B74" s="6" t="s">
        <v>148</v>
      </c>
      <c r="C74" s="9" t="n">
        <f aca="false">COUNTIF(Composants!C:C,A74)</f>
        <v>2</v>
      </c>
      <c r="D74" s="9" t="n">
        <f aca="false">SUMIF(Composants!C:C,A74,Composants!E:E)</f>
        <v>3</v>
      </c>
      <c r="E74" s="9" t="n">
        <f aca="false">COUNTIF(Sources!A:A,A74)</f>
        <v>1</v>
      </c>
      <c r="F74" s="9" t="str">
        <f aca="false">IF(E74&gt;0,"Renseigné","À renseigner")</f>
        <v>Renseigné</v>
      </c>
      <c r="G74" s="9" t="n">
        <f aca="false">SUMIF(Plan_matériaux!$C$2:$C$19,A74,Plan_matériaux!$G$2:$G$19)</f>
        <v>0</v>
      </c>
    </row>
    <row r="75" customFormat="false" ht="15" hidden="false" customHeight="true" outlineLevel="0" collapsed="false">
      <c r="A75" s="6" t="n">
        <v>6361</v>
      </c>
      <c r="B75" s="6" t="s">
        <v>320</v>
      </c>
      <c r="C75" s="9" t="n">
        <f aca="false">COUNTIF(Composants!C:C,A75)</f>
        <v>1</v>
      </c>
      <c r="D75" s="9" t="n">
        <f aca="false">SUMIF(Composants!C:C,A75,Composants!E:E)</f>
        <v>1</v>
      </c>
      <c r="E75" s="9" t="n">
        <f aca="false">COUNTIF(Sources!A:A,A75)</f>
        <v>3</v>
      </c>
      <c r="F75" s="9" t="str">
        <f aca="false">IF(E75&gt;0,"Renseigné","À renseigner")</f>
        <v>Renseigné</v>
      </c>
      <c r="G75" s="9" t="n">
        <f aca="false">SUMIF(Plan_matériaux!$C$2:$C$19,A75,Plan_matériaux!$G$2:$G$19)</f>
        <v>0</v>
      </c>
    </row>
    <row r="76" customFormat="false" ht="15" hidden="false" customHeight="true" outlineLevel="0" collapsed="false">
      <c r="A76" s="6" t="n">
        <v>3172</v>
      </c>
      <c r="B76" s="6" t="s">
        <v>323</v>
      </c>
      <c r="C76" s="9" t="n">
        <f aca="false">COUNTIF(Composants!C:C,A76)</f>
        <v>1</v>
      </c>
      <c r="D76" s="9" t="n">
        <f aca="false">SUMIF(Composants!C:C,A76,Composants!E:E)</f>
        <v>1</v>
      </c>
      <c r="E76" s="9" t="n">
        <f aca="false">COUNTIF(Sources!A:A,A76)</f>
        <v>1</v>
      </c>
      <c r="F76" s="9" t="str">
        <f aca="false">IF(E76&gt;0,"Renseigné","À renseigner")</f>
        <v>Renseigné</v>
      </c>
      <c r="G76" s="9" t="n">
        <f aca="false">SUMIF(Plan_matériaux!$C$2:$C$19,A76,Plan_matériaux!$G$2:$G$19)</f>
        <v>0</v>
      </c>
    </row>
    <row r="77" customFormat="false" ht="15" hidden="false" customHeight="true" outlineLevel="0" collapsed="false">
      <c r="A77" s="6" t="n">
        <v>8365</v>
      </c>
      <c r="B77" s="6" t="s">
        <v>364</v>
      </c>
      <c r="C77" s="9" t="n">
        <f aca="false">COUNTIF(Composants!C:C,A77)</f>
        <v>1</v>
      </c>
      <c r="D77" s="9" t="n">
        <f aca="false">SUMIF(Composants!C:C,A77,Composants!E:E)</f>
        <v>1</v>
      </c>
      <c r="E77" s="9" t="n">
        <f aca="false">COUNTIF(Sources!A:A,A77)</f>
        <v>6</v>
      </c>
      <c r="F77" s="9" t="str">
        <f aca="false">IF(E77&gt;0,"Renseigné","À renseigner")</f>
        <v>Renseigné</v>
      </c>
      <c r="G77" s="9" t="n">
        <f aca="false">SUMIF(Plan_matériaux!$C$2:$C$19,A77,Plan_matériaux!$G$2:$G$19)</f>
        <v>0</v>
      </c>
    </row>
    <row r="78" customFormat="false" ht="15" hidden="false" customHeight="true" outlineLevel="0" collapsed="false">
      <c r="A78" s="6" t="n">
        <v>12205</v>
      </c>
      <c r="B78" s="6" t="s">
        <v>279</v>
      </c>
      <c r="C78" s="9" t="n">
        <f aca="false">COUNTIF(Composants!C:C,A78)</f>
        <v>1</v>
      </c>
      <c r="D78" s="9" t="n">
        <f aca="false">SUMIF(Composants!C:C,A78,Composants!E:E)</f>
        <v>2</v>
      </c>
      <c r="E78" s="9" t="n">
        <f aca="false">COUNTIF(Sources!A:A,A78)</f>
        <v>1</v>
      </c>
      <c r="F78" s="9" t="str">
        <f aca="false">IF(E78&gt;0,"Renseigné","À renseigner")</f>
        <v>Renseigné</v>
      </c>
      <c r="G78" s="9" t="n">
        <f aca="false">SUMIF(Plan_matériaux!$C$2:$C$19,A78,Plan_matériaux!$G$2:$G$19)</f>
        <v>80</v>
      </c>
    </row>
    <row r="79" customFormat="false" ht="15" hidden="false" customHeight="true" outlineLevel="0" collapsed="false">
      <c r="A79" s="6" t="n">
        <v>3173</v>
      </c>
      <c r="B79" s="6" t="s">
        <v>272</v>
      </c>
      <c r="C79" s="9" t="n">
        <f aca="false">COUNTIF(Composants!C:C,A79)</f>
        <v>2</v>
      </c>
      <c r="D79" s="9" t="n">
        <f aca="false">SUMIF(Composants!C:C,A79,Composants!E:E)</f>
        <v>2</v>
      </c>
      <c r="E79" s="9" t="n">
        <f aca="false">COUNTIF(Sources!A:A,A79)</f>
        <v>3</v>
      </c>
      <c r="F79" s="9" t="str">
        <f aca="false">IF(E79&gt;0,"Renseigné","À renseigner")</f>
        <v>Renseigné</v>
      </c>
      <c r="G79" s="9" t="n">
        <f aca="false">SUMIF(Plan_matériaux!$C$2:$C$19,A79,Plan_matériaux!$G$2:$G$19)</f>
        <v>35</v>
      </c>
    </row>
    <row r="80" customFormat="false" ht="15" hidden="false" customHeight="true" outlineLevel="0" collapsed="false">
      <c r="A80" s="6" t="n">
        <v>5471</v>
      </c>
      <c r="B80" s="6" t="s">
        <v>345</v>
      </c>
      <c r="C80" s="9" t="n">
        <f aca="false">COUNTIF(Composants!C:C,A80)</f>
        <v>3</v>
      </c>
      <c r="D80" s="9" t="n">
        <f aca="false">SUMIF(Composants!C:C,A80,Composants!E:E)</f>
        <v>6</v>
      </c>
      <c r="E80" s="9" t="n">
        <f aca="false">COUNTIF(Sources!A:A,A80)</f>
        <v>2</v>
      </c>
      <c r="F80" s="9" t="str">
        <f aca="false">IF(E80&gt;0,"Renseigné","À renseigner")</f>
        <v>Renseigné</v>
      </c>
      <c r="G80" s="9" t="n">
        <f aca="false">SUMIF(Plan_matériaux!$C$2:$C$19,A80,Plan_matériaux!$G$2:$G$19)</f>
        <v>0</v>
      </c>
    </row>
    <row r="81" customFormat="false" ht="15" hidden="false" customHeight="true" outlineLevel="0" collapsed="false">
      <c r="A81" s="6" t="n">
        <v>1080</v>
      </c>
      <c r="B81" s="6" t="s">
        <v>337</v>
      </c>
      <c r="C81" s="9" t="n">
        <f aca="false">COUNTIF(Composants!C:C,A81)</f>
        <v>1</v>
      </c>
      <c r="D81" s="9" t="n">
        <f aca="false">SUMIF(Composants!C:C,A81,Composants!E:E)</f>
        <v>1</v>
      </c>
      <c r="E81" s="9" t="n">
        <f aca="false">COUNTIF(Sources!A:A,A81)</f>
        <v>1</v>
      </c>
      <c r="F81" s="9" t="str">
        <f aca="false">IF(E81&gt;0,"Renseigné","À renseigner")</f>
        <v>Renseigné</v>
      </c>
      <c r="G81" s="9" t="n">
        <f aca="false">SUMIF(Plan_matériaux!$C$2:$C$19,A81,Plan_matériaux!$G$2:$G$19)</f>
        <v>0</v>
      </c>
    </row>
    <row r="82" customFormat="false" ht="15" hidden="false" customHeight="true" outlineLevel="0" collapsed="false">
      <c r="A82" s="6" t="n">
        <v>2673</v>
      </c>
      <c r="B82" s="6" t="s">
        <v>314</v>
      </c>
      <c r="C82" s="9" t="n">
        <f aca="false">COUNTIF(Composants!C:C,A82)</f>
        <v>1</v>
      </c>
      <c r="D82" s="9" t="n">
        <f aca="false">SUMIF(Composants!C:C,A82,Composants!E:E)</f>
        <v>1</v>
      </c>
      <c r="E82" s="9" t="n">
        <f aca="false">COUNTIF(Sources!A:A,A82)</f>
        <v>1</v>
      </c>
      <c r="F82" s="9" t="str">
        <f aca="false">IF(E82&gt;0,"Renseigné","À renseigner")</f>
        <v>Renseigné</v>
      </c>
      <c r="G82" s="9" t="n">
        <f aca="false">SUMIF(Plan_matériaux!$C$2:$C$19,A82,Plan_matériaux!$G$2:$G$19)</f>
        <v>0</v>
      </c>
    </row>
    <row r="83" customFormat="false" ht="15" hidden="false" customHeight="true" outlineLevel="0" collapsed="false">
      <c r="A83" s="6" t="n">
        <v>12206</v>
      </c>
      <c r="B83" s="6" t="s">
        <v>367</v>
      </c>
      <c r="C83" s="9" t="n">
        <f aca="false">COUNTIF(Composants!C:C,A83)</f>
        <v>2</v>
      </c>
      <c r="D83" s="9" t="n">
        <f aca="false">SUMIF(Composants!C:C,A83,Composants!E:E)</f>
        <v>2</v>
      </c>
      <c r="E83" s="9" t="n">
        <f aca="false">COUNTIF(Sources!A:A,A83)</f>
        <v>2</v>
      </c>
      <c r="F83" s="9" t="str">
        <f aca="false">IF(E83&gt;0,"Renseigné","À renseigner")</f>
        <v>Renseigné</v>
      </c>
      <c r="G83" s="9" t="n">
        <f aca="false">SUMIF(Plan_matériaux!$C$2:$C$19,A83,Plan_matériaux!$G$2:$G$19)</f>
        <v>0</v>
      </c>
    </row>
    <row r="84" customFormat="false" ht="15" hidden="false" customHeight="true" outlineLevel="0" collapsed="false">
      <c r="A84" s="6" t="n">
        <v>2924</v>
      </c>
      <c r="B84" s="6" t="s">
        <v>331</v>
      </c>
      <c r="C84" s="9" t="n">
        <f aca="false">COUNTIF(Composants!C:C,A84)</f>
        <v>1</v>
      </c>
      <c r="D84" s="9" t="n">
        <f aca="false">SUMIF(Composants!C:C,A84,Composants!E:E)</f>
        <v>1</v>
      </c>
      <c r="E84" s="9" t="n">
        <f aca="false">COUNTIF(Sources!A:A,A84)</f>
        <v>1</v>
      </c>
      <c r="F84" s="9" t="str">
        <f aca="false">IF(E84&gt;0,"Renseigné","À renseigner")</f>
        <v>Renseigné</v>
      </c>
      <c r="G84" s="9" t="n">
        <f aca="false">SUMIF(Plan_matériaux!$C$2:$C$19,A84,Plan_matériaux!$G$2:$G$19)</f>
        <v>0</v>
      </c>
    </row>
    <row r="85" customFormat="false" ht="15" hidden="false" customHeight="true" outlineLevel="0" collapsed="false">
      <c r="A85" s="6" t="n">
        <v>3667</v>
      </c>
      <c r="B85" s="6" t="s">
        <v>274</v>
      </c>
      <c r="C85" s="9" t="n">
        <f aca="false">COUNTIF(Composants!C:C,A85)</f>
        <v>2</v>
      </c>
      <c r="D85" s="9" t="n">
        <f aca="false">SUMIF(Composants!C:C,A85,Composants!E:E)</f>
        <v>3</v>
      </c>
      <c r="E85" s="9" t="n">
        <f aca="false">COUNTIF(Sources!A:A,A85)</f>
        <v>2</v>
      </c>
      <c r="F85" s="9" t="str">
        <f aca="false">IF(E85&gt;0,"Renseigné","À renseigner")</f>
        <v>Renseigné</v>
      </c>
      <c r="G85" s="9" t="n">
        <f aca="false">SUMIF(Plan_matériaux!$C$2:$C$19,A85,Plan_matériaux!$G$2:$G$19)</f>
        <v>40</v>
      </c>
    </row>
    <row r="86" customFormat="false" ht="15" hidden="false" customHeight="true" outlineLevel="0" collapsed="false">
      <c r="A86" s="6" t="n">
        <v>3730</v>
      </c>
      <c r="B86" s="6" t="s">
        <v>343</v>
      </c>
      <c r="C86" s="9" t="n">
        <f aca="false">COUNTIF(Composants!C:C,A86)</f>
        <v>2</v>
      </c>
      <c r="D86" s="9" t="n">
        <f aca="false">SUMIF(Composants!C:C,A86,Composants!E:E)</f>
        <v>3</v>
      </c>
      <c r="E86" s="9" t="n">
        <f aca="false">COUNTIF(Sources!A:A,A86)</f>
        <v>2</v>
      </c>
      <c r="F86" s="9" t="str">
        <f aca="false">IF(E86&gt;0,"Renseigné","À renseigner")</f>
        <v>Renseigné</v>
      </c>
      <c r="G86" s="9" t="n">
        <f aca="false">SUMIF(Plan_matériaux!$C$2:$C$19,A86,Plan_matériaux!$G$2:$G$19)</f>
        <v>0</v>
      </c>
    </row>
    <row r="87" customFormat="false" ht="15" hidden="false" customHeight="true" outlineLevel="0" collapsed="false">
      <c r="A87" s="6" t="n">
        <v>5467</v>
      </c>
      <c r="B87" s="6" t="s">
        <v>310</v>
      </c>
      <c r="C87" s="9" t="n">
        <f aca="false">COUNTIF(Composants!C:C,A87)</f>
        <v>1</v>
      </c>
      <c r="D87" s="9" t="n">
        <f aca="false">SUMIF(Composants!C:C,A87,Composants!E:E)</f>
        <v>1</v>
      </c>
      <c r="E87" s="9" t="n">
        <f aca="false">COUNTIF(Sources!A:A,A87)</f>
        <v>2</v>
      </c>
      <c r="F87" s="9" t="str">
        <f aca="false">IF(E87&gt;0,"Renseigné","À renseigner")</f>
        <v>Renseigné</v>
      </c>
      <c r="G87" s="9" t="n">
        <f aca="false">SUMIF(Plan_matériaux!$C$2:$C$19,A87,Plan_matériaux!$G$2:$G$19)</f>
        <v>0</v>
      </c>
    </row>
    <row r="88" customFormat="false" ht="15" hidden="false" customHeight="true" outlineLevel="0" collapsed="false">
      <c r="A88" s="6" t="n">
        <v>12204</v>
      </c>
      <c r="B88" s="6" t="s">
        <v>342</v>
      </c>
      <c r="C88" s="9" t="n">
        <f aca="false">COUNTIF(Composants!C:C,A88)</f>
        <v>2</v>
      </c>
      <c r="D88" s="9" t="n">
        <f aca="false">SUMIF(Composants!C:C,A88,Composants!E:E)</f>
        <v>3</v>
      </c>
      <c r="E88" s="9" t="n">
        <f aca="false">COUNTIF(Sources!A:A,A88)</f>
        <v>1</v>
      </c>
      <c r="F88" s="9" t="str">
        <f aca="false">IF(E88&gt;0,"Renseigné","À renseigner")</f>
        <v>Renseigné</v>
      </c>
      <c r="G88" s="9" t="n">
        <f aca="false">SUMIF(Plan_matériaux!$C$2:$C$19,A88,Plan_matériaux!$G$2:$G$19)</f>
        <v>0</v>
      </c>
    </row>
    <row r="89" customFormat="false" ht="15" hidden="false" customHeight="true" outlineLevel="0" collapsed="false">
      <c r="A89" s="6" t="n">
        <v>3731</v>
      </c>
      <c r="B89" s="6" t="s">
        <v>276</v>
      </c>
      <c r="C89" s="9" t="n">
        <f aca="false">COUNTIF(Composants!C:C,A89)</f>
        <v>2</v>
      </c>
      <c r="D89" s="9" t="n">
        <f aca="false">SUMIF(Composants!C:C,A89,Composants!E:E)</f>
        <v>3</v>
      </c>
      <c r="E89" s="9" t="n">
        <f aca="false">COUNTIF(Sources!A:A,A89)</f>
        <v>1</v>
      </c>
      <c r="F89" s="9" t="str">
        <f aca="false">IF(E89&gt;0,"Renseigné","À renseigner")</f>
        <v>Renseigné</v>
      </c>
      <c r="G89" s="9" t="n">
        <f aca="false">SUMIF(Plan_matériaux!$C$2:$C$19,A89,Plan_matériaux!$G$2:$G$19)</f>
        <v>60</v>
      </c>
    </row>
    <row r="90" customFormat="false" ht="15" hidden="false" customHeight="true" outlineLevel="0" collapsed="false">
      <c r="A90" s="6" t="n">
        <v>2672</v>
      </c>
      <c r="B90" s="6" t="s">
        <v>300</v>
      </c>
      <c r="C90" s="9" t="n">
        <f aca="false">COUNTIF(Composants!C:C,A90)</f>
        <v>2</v>
      </c>
      <c r="D90" s="9" t="n">
        <f aca="false">SUMIF(Composants!C:C,A90,Composants!E:E)</f>
        <v>2</v>
      </c>
      <c r="E90" s="9" t="n">
        <f aca="false">COUNTIF(Sources!A:A,A90)</f>
        <v>4</v>
      </c>
      <c r="F90" s="9" t="str">
        <f aca="false">IF(E90&gt;0,"Renseigné","À renseigner")</f>
        <v>Renseigné</v>
      </c>
      <c r="G90" s="9" t="n">
        <f aca="false">SUMIF(Plan_matériaux!$C$2:$C$19,A90,Plan_matériaux!$G$2:$G$19)</f>
        <v>0</v>
      </c>
    </row>
    <row r="91" customFormat="false" ht="15" hidden="false" customHeight="true" outlineLevel="0" collapsed="false">
      <c r="A91" s="6" t="n">
        <v>12203</v>
      </c>
      <c r="B91" s="6" t="s">
        <v>361</v>
      </c>
      <c r="C91" s="9" t="n">
        <f aca="false">COUNTIF(Composants!C:C,A91)</f>
        <v>2</v>
      </c>
      <c r="D91" s="9" t="n">
        <f aca="false">SUMIF(Composants!C:C,A91,Composants!E:E)</f>
        <v>3</v>
      </c>
      <c r="E91" s="9" t="n">
        <f aca="false">COUNTIF(Sources!A:A,A91)</f>
        <v>0</v>
      </c>
      <c r="F91" s="9" t="str">
        <f aca="false">IF(E91&gt;0,"Renseigné","À renseigner")</f>
        <v>À renseigner</v>
      </c>
      <c r="G91" s="9" t="n">
        <f aca="false">SUMIF(Plan_matériaux!$C$2:$C$19,A91,Plan_matériaux!$G$2:$G$19)</f>
        <v>0</v>
      </c>
    </row>
    <row r="92" customFormat="false" ht="15" hidden="false" customHeight="true" outlineLevel="0" collapsed="false">
      <c r="A92" s="6" t="n">
        <v>12208</v>
      </c>
      <c r="B92" s="6" t="s">
        <v>376</v>
      </c>
      <c r="C92" s="9" t="n">
        <f aca="false">COUNTIF(Composants!C:C,A92)</f>
        <v>1</v>
      </c>
      <c r="D92" s="9" t="n">
        <f aca="false">SUMIF(Composants!C:C,A92,Composants!E:E)</f>
        <v>1</v>
      </c>
      <c r="E92" s="9" t="n">
        <f aca="false">COUNTIF(Sources!A:A,A92)</f>
        <v>2</v>
      </c>
      <c r="F92" s="9" t="str">
        <f aca="false">IF(E92&gt;0,"Renseigné","À renseigner")</f>
        <v>Renseigné</v>
      </c>
      <c r="G92" s="9" t="n">
        <f aca="false">SUMIF(Plan_matériaux!$C$2:$C$19,A92,Plan_matériaux!$G$2:$G$19)</f>
        <v>0</v>
      </c>
    </row>
    <row r="93" customFormat="false" ht="15" hidden="false" customHeight="true" outlineLevel="0" collapsed="false">
      <c r="A93" s="6" t="n">
        <v>12202</v>
      </c>
      <c r="B93" s="6" t="s">
        <v>348</v>
      </c>
      <c r="C93" s="9" t="n">
        <f aca="false">COUNTIF(Composants!C:C,A93)</f>
        <v>3</v>
      </c>
      <c r="D93" s="9" t="n">
        <f aca="false">SUMIF(Composants!C:C,A93,Composants!E:E)</f>
        <v>6</v>
      </c>
      <c r="E93" s="9" t="n">
        <f aca="false">COUNTIF(Sources!A:A,A93)</f>
        <v>1</v>
      </c>
      <c r="F93" s="9" t="str">
        <f aca="false">IF(E93&gt;0,"Renseigné","À renseigner")</f>
        <v>Renseigné</v>
      </c>
      <c r="G93" s="9" t="n">
        <f aca="false">SUMIF(Plan_matériaux!$C$2:$C$19,A93,Plan_matériaux!$G$2:$G$19)</f>
        <v>0</v>
      </c>
    </row>
    <row r="94" customFormat="false" ht="15" hidden="false" customHeight="true" outlineLevel="0" collapsed="false">
      <c r="A94" s="6" t="n">
        <v>3712</v>
      </c>
      <c r="B94" s="6" t="s">
        <v>360</v>
      </c>
      <c r="C94" s="9" t="n">
        <f aca="false">COUNTIF(Composants!C:C,A94)</f>
        <v>2</v>
      </c>
      <c r="D94" s="9" t="n">
        <f aca="false">SUMIF(Composants!C:C,A94,Composants!E:E)</f>
        <v>4</v>
      </c>
      <c r="E94" s="9" t="n">
        <f aca="false">COUNTIF(Sources!A:A,A94)</f>
        <v>1</v>
      </c>
      <c r="F94" s="9" t="str">
        <f aca="false">IF(E94&gt;0,"Renseigné","À renseigner")</f>
        <v>Renseigné</v>
      </c>
      <c r="G94" s="9" t="n">
        <f aca="false">SUMIF(Plan_matériaux!$C$2:$C$19,A94,Plan_matériaux!$G$2:$G$19)</f>
        <v>0</v>
      </c>
    </row>
    <row r="95" customFormat="false" ht="15" hidden="false" customHeight="true" outlineLevel="0" collapsed="false">
      <c r="A95" s="6" t="n">
        <v>5469</v>
      </c>
      <c r="B95" s="6" t="s">
        <v>315</v>
      </c>
      <c r="C95" s="9" t="n">
        <f aca="false">COUNTIF(Composants!C:C,A95)</f>
        <v>1</v>
      </c>
      <c r="D95" s="9" t="n">
        <f aca="false">SUMIF(Composants!C:C,A95,Composants!E:E)</f>
        <v>1</v>
      </c>
      <c r="E95" s="9" t="n">
        <f aca="false">COUNTIF(Sources!A:A,A95)</f>
        <v>2</v>
      </c>
      <c r="F95" s="9" t="str">
        <f aca="false">IF(E95&gt;0,"Renseigné","À renseigner")</f>
        <v>Renseigné</v>
      </c>
      <c r="G95" s="9" t="n">
        <f aca="false">SUMIF(Plan_matériaux!$C$2:$C$19,A95,Plan_matériaux!$G$2:$G$19)</f>
        <v>0</v>
      </c>
    </row>
    <row r="96" customFormat="false" ht="15" hidden="false" customHeight="true" outlineLevel="0" collapsed="false">
      <c r="A96" s="6" t="n">
        <v>729</v>
      </c>
      <c r="B96" s="6" t="s">
        <v>327</v>
      </c>
      <c r="C96" s="9" t="n">
        <f aca="false">COUNTIF(Composants!C:C,A96)</f>
        <v>1</v>
      </c>
      <c r="D96" s="9" t="n">
        <f aca="false">SUMIF(Composants!C:C,A96,Composants!E:E)</f>
        <v>1</v>
      </c>
      <c r="E96" s="9" t="n">
        <f aca="false">COUNTIF(Sources!A:A,A96)</f>
        <v>1</v>
      </c>
      <c r="F96" s="9" t="str">
        <f aca="false">IF(E96&gt;0,"Renseigné","À renseigner")</f>
        <v>Renseigné</v>
      </c>
      <c r="G96" s="9" t="n">
        <f aca="false">SUMIF(Plan_matériaux!$C$2:$C$19,A96,Plan_matériaux!$G$2:$G$19)</f>
        <v>0</v>
      </c>
    </row>
    <row r="97" customFormat="false" ht="15" hidden="false" customHeight="true" outlineLevel="0" collapsed="false">
      <c r="A97" s="6" t="n">
        <v>12037</v>
      </c>
      <c r="B97" s="6" t="s">
        <v>341</v>
      </c>
      <c r="C97" s="9" t="n">
        <f aca="false">COUNTIF(Composants!C:C,A97)</f>
        <v>4</v>
      </c>
      <c r="D97" s="9" t="n">
        <f aca="false">SUMIF(Composants!C:C,A97,Composants!E:E)</f>
        <v>5</v>
      </c>
      <c r="E97" s="9" t="n">
        <f aca="false">COUNTIF(Sources!A:A,A97)</f>
        <v>2</v>
      </c>
      <c r="F97" s="9" t="str">
        <f aca="false">IF(E97&gt;0,"Renseigné","À renseigner")</f>
        <v>Renseigné</v>
      </c>
      <c r="G97" s="9" t="n">
        <f aca="false">SUMIF(Plan_matériaux!$C$2:$C$19,A97,Plan_matériaux!$G$2:$G$19)</f>
        <v>0</v>
      </c>
    </row>
    <row r="98" customFormat="false" ht="15" hidden="false" customHeight="true" outlineLevel="0" collapsed="false">
      <c r="A98" s="6" t="n">
        <v>3357</v>
      </c>
      <c r="B98" s="6" t="s">
        <v>346</v>
      </c>
      <c r="C98" s="9" t="n">
        <f aca="false">COUNTIF(Composants!C:C,A98)</f>
        <v>1</v>
      </c>
      <c r="D98" s="9" t="n">
        <f aca="false">SUMIF(Composants!C:C,A98,Composants!E:E)</f>
        <v>2</v>
      </c>
      <c r="E98" s="9" t="n">
        <f aca="false">COUNTIF(Sources!A:A,A98)</f>
        <v>0</v>
      </c>
      <c r="F98" s="9" t="str">
        <f aca="false">IF(E98&gt;0,"Renseigné","À renseigner")</f>
        <v>À renseigner</v>
      </c>
      <c r="G98" s="9" t="n">
        <f aca="false">SUMIF(Plan_matériaux!$C$2:$C$19,A98,Plan_matériaux!$G$2:$G$19)</f>
        <v>0</v>
      </c>
    </row>
    <row r="99" customFormat="false" ht="15" hidden="false" customHeight="false" outlineLevel="0" collapsed="false">
      <c r="A99" s="6" t="n">
        <v>13755</v>
      </c>
      <c r="B99" s="6" t="s">
        <v>377</v>
      </c>
      <c r="C99" s="9" t="n">
        <f aca="false">COUNTIF(Composants!C:C,A99)</f>
        <v>1</v>
      </c>
      <c r="D99" s="9" t="n">
        <f aca="false">SUMIF(Composants!C:C,A99,Composants!E:E)</f>
        <v>1</v>
      </c>
      <c r="E99" s="9" t="n">
        <f aca="false">COUNTIF(Sources!A:A,A99)</f>
        <v>0</v>
      </c>
      <c r="F99" s="9" t="str">
        <f aca="false">IF(E99&gt;0,"Renseigné","À renseigner")</f>
        <v>À renseigner</v>
      </c>
      <c r="G99" s="9" t="n">
        <f aca="false">SUMIF(Plan_matériaux!$C$2:$C$19,A99,Plan_matériaux!$G$2:$G$19)</f>
        <v>0</v>
      </c>
    </row>
    <row r="100" customFormat="false" ht="15" hidden="false" customHeight="false" outlineLevel="0" collapsed="false">
      <c r="A100" s="6" t="n">
        <v>13756</v>
      </c>
      <c r="B100" s="6" t="s">
        <v>378</v>
      </c>
      <c r="C100" s="9" t="n">
        <f aca="false">COUNTIF(Composants!C:C,A100)</f>
        <v>1</v>
      </c>
      <c r="D100" s="9" t="n">
        <f aca="false">SUMIF(Composants!C:C,A100,Composants!E:E)</f>
        <v>1</v>
      </c>
      <c r="E100" s="9" t="n">
        <f aca="false">COUNTIF(Sources!A:A,A100)</f>
        <v>0</v>
      </c>
      <c r="F100" s="9" t="str">
        <f aca="false">IF(E100&gt;0,"Renseigné","À renseigner")</f>
        <v>À renseigner</v>
      </c>
      <c r="G100" s="9" t="n">
        <f aca="false">SUMIF(Plan_matériaux!$C$2:$C$19,A100,Plan_matériaux!$G$2:$G$19)</f>
        <v>0</v>
      </c>
    </row>
    <row r="101" customFormat="false" ht="15" hidden="false" customHeight="false" outlineLevel="0" collapsed="false">
      <c r="A101" s="6" t="n">
        <v>13759</v>
      </c>
      <c r="B101" s="6" t="s">
        <v>379</v>
      </c>
      <c r="C101" s="9" t="n">
        <f aca="false">COUNTIF(Composants!C:C,A101)</f>
        <v>1</v>
      </c>
      <c r="D101" s="9" t="n">
        <f aca="false">SUMIF(Composants!C:C,A101,Composants!E:E)</f>
        <v>1</v>
      </c>
      <c r="E101" s="9" t="n">
        <f aca="false">COUNTIF(Sources!A:A,A101)</f>
        <v>0</v>
      </c>
      <c r="F101" s="9" t="str">
        <f aca="false">IF(E101&gt;0,"Renseigné","À renseigner")</f>
        <v>À renseigner</v>
      </c>
      <c r="G101" s="9" t="n">
        <f aca="false">SUMIF(Plan_matériaux!$C$2:$C$19,A101,Plan_matériaux!$G$2:$G$19)</f>
        <v>0</v>
      </c>
    </row>
    <row r="102" customFormat="false" ht="15" hidden="false" customHeight="false" outlineLevel="0" collapsed="false">
      <c r="A102" s="6" t="n">
        <v>13760</v>
      </c>
      <c r="B102" s="6" t="s">
        <v>380</v>
      </c>
      <c r="C102" s="9" t="n">
        <f aca="false">COUNTIF(Composants!C:C,A102)</f>
        <v>1</v>
      </c>
      <c r="D102" s="9" t="n">
        <f aca="false">SUMIF(Composants!C:C,A102,Composants!E:E)</f>
        <v>1</v>
      </c>
      <c r="E102" s="9" t="n">
        <f aca="false">COUNTIF(Sources!A:A,A102)</f>
        <v>0</v>
      </c>
      <c r="F102" s="9" t="str">
        <f aca="false">IF(E102&gt;0,"Renseigné","À renseigner")</f>
        <v>À renseigner</v>
      </c>
      <c r="G102" s="9" t="n">
        <f aca="false">SUMIF(Plan_matériaux!$C$2:$C$19,A102,Plan_matériaux!$G$2:$G$19)</f>
        <v>0</v>
      </c>
    </row>
    <row r="103" customFormat="false" ht="15" hidden="false" customHeight="false" outlineLevel="0" collapsed="false">
      <c r="A103" s="6" t="n">
        <v>13888</v>
      </c>
      <c r="B103" s="6" t="s">
        <v>381</v>
      </c>
      <c r="C103" s="9" t="n">
        <f aca="false">COUNTIF(Composants!C:C,A103)</f>
        <v>1</v>
      </c>
      <c r="D103" s="9" t="n">
        <f aca="false">SUMIF(Composants!C:C,A103,Composants!E:E)</f>
        <v>1</v>
      </c>
      <c r="E103" s="9" t="n">
        <f aca="false">COUNTIF(Sources!A:A,A103)</f>
        <v>0</v>
      </c>
      <c r="F103" s="9" t="str">
        <f aca="false">IF(E103&gt;0,"Renseigné","À renseigner")</f>
        <v>À renseigner</v>
      </c>
      <c r="G103" s="9" t="n">
        <f aca="false">SUMIF(Plan_matériaux!$C$2:$C$19,A103,Plan_matériaux!$G$2:$G$19)</f>
        <v>0</v>
      </c>
    </row>
    <row r="104" customFormat="false" ht="15" hidden="false" customHeight="false" outlineLevel="0" collapsed="false">
      <c r="A104" s="6" t="n">
        <v>13893</v>
      </c>
      <c r="B104" s="6" t="s">
        <v>382</v>
      </c>
      <c r="C104" s="9" t="n">
        <f aca="false">COUNTIF(Composants!C:C,A104)</f>
        <v>1</v>
      </c>
      <c r="D104" s="9" t="n">
        <f aca="false">SUMIF(Composants!C:C,A104,Composants!E:E)</f>
        <v>1</v>
      </c>
      <c r="E104" s="9" t="n">
        <f aca="false">COUNTIF(Sources!A:A,A104)</f>
        <v>0</v>
      </c>
      <c r="F104" s="9" t="str">
        <f aca="false">IF(E104&gt;0,"Renseigné","À renseigner")</f>
        <v>À renseigner</v>
      </c>
      <c r="G104" s="9" t="n">
        <f aca="false">SUMIF(Plan_matériaux!$C$2:$C$19,A104,Plan_matériaux!$G$2:$G$19)</f>
        <v>0</v>
      </c>
    </row>
    <row r="105" customFormat="false" ht="15" hidden="false" customHeight="false" outlineLevel="0" collapsed="false">
      <c r="A105" s="6" t="n">
        <v>13889</v>
      </c>
      <c r="B105" s="6" t="s">
        <v>383</v>
      </c>
      <c r="C105" s="9" t="n">
        <f aca="false">COUNTIF(Composants!C:C,A105)</f>
        <v>1</v>
      </c>
      <c r="D105" s="9" t="n">
        <f aca="false">SUMIF(Composants!C:C,A105,Composants!E:E)</f>
        <v>1</v>
      </c>
      <c r="E105" s="9" t="n">
        <f aca="false">COUNTIF(Sources!A:A,A105)</f>
        <v>0</v>
      </c>
      <c r="F105" s="9" t="str">
        <f aca="false">IF(E105&gt;0,"Renseigné","À renseigner")</f>
        <v>À renseigner</v>
      </c>
      <c r="G105" s="9" t="n">
        <f aca="false">SUMIF(Plan_matériaux!$C$2:$C$19,A105,Plan_matériaux!$G$2:$G$19)</f>
        <v>0</v>
      </c>
    </row>
    <row r="106" customFormat="false" ht="15" hidden="false" customHeight="false" outlineLevel="0" collapsed="false">
      <c r="A106" s="6" t="n">
        <v>18255</v>
      </c>
      <c r="B106" s="6" t="s">
        <v>384</v>
      </c>
      <c r="C106" s="9" t="n">
        <f aca="false">COUNTIF(Composants!C:C,A106)</f>
        <v>1</v>
      </c>
      <c r="D106" s="9" t="n">
        <f aca="false">SUMIF(Composants!C:C,A106,Composants!E:E)</f>
        <v>1</v>
      </c>
      <c r="E106" s="9" t="n">
        <f aca="false">COUNTIF(Sources!A:A,A106)</f>
        <v>0</v>
      </c>
      <c r="F106" s="9" t="str">
        <f aca="false">IF(E106&gt;0,"Renseigné","À renseigner")</f>
        <v>À renseigner</v>
      </c>
      <c r="G106" s="9" t="n">
        <f aca="false">SUMIF(Plan_matériaux!$C$2:$C$19,A106,Plan_matériaux!$G$2:$G$19)</f>
        <v>0</v>
      </c>
    </row>
    <row r="107" customFormat="false" ht="15" hidden="false" customHeight="false" outlineLevel="0" collapsed="false">
      <c r="A107" s="6" t="n">
        <v>20424</v>
      </c>
      <c r="B107" s="6" t="s">
        <v>385</v>
      </c>
      <c r="C107" s="9" t="n">
        <f aca="false">COUNTIF(Composants!C:C,A107)</f>
        <v>1</v>
      </c>
      <c r="D107" s="9" t="n">
        <f aca="false">SUMIF(Composants!C:C,A107,Composants!E:E)</f>
        <v>1</v>
      </c>
      <c r="E107" s="9" t="n">
        <f aca="false">COUNTIF(Sources!A:A,A107)</f>
        <v>1</v>
      </c>
      <c r="F107" s="9" t="str">
        <f aca="false">IF(E107&gt;0,"Renseigné","À renseigner")</f>
        <v>Renseigné</v>
      </c>
      <c r="G107" s="9" t="n">
        <f aca="false">SUMIF(Plan_matériaux!$C$2:$C$19,A107,Plan_matériaux!$G$2:$G$19)</f>
        <v>0</v>
      </c>
    </row>
    <row r="108" customFormat="false" ht="15" hidden="false" customHeight="false" outlineLevel="0" collapsed="false">
      <c r="A108" s="6" t="n">
        <v>9061</v>
      </c>
      <c r="B108" s="6" t="s">
        <v>386</v>
      </c>
      <c r="C108" s="9" t="n">
        <f aca="false">COUNTIF(Composants!C:C,A108)</f>
        <v>1</v>
      </c>
      <c r="D108" s="9" t="n">
        <f aca="false">SUMIF(Composants!C:C,A108,Composants!E:E)</f>
        <v>1</v>
      </c>
      <c r="E108" s="9" t="n">
        <f aca="false">COUNTIF(Sources!A:A,A108)</f>
        <v>0</v>
      </c>
      <c r="F108" s="9" t="str">
        <f aca="false">IF(E108&gt;0,"Renseigné","À renseigner")</f>
        <v>À renseigner</v>
      </c>
      <c r="G108" s="9" t="n">
        <f aca="false">SUMIF(Plan_matériaux!$C$2:$C$19,A108,Plan_matériaux!$G$2:$G$19)</f>
        <v>0</v>
      </c>
    </row>
    <row r="109" customFormat="false" ht="15" hidden="false" customHeight="false" outlineLevel="0" collapsed="false">
      <c r="A109" s="6" t="n">
        <v>8150</v>
      </c>
      <c r="B109" s="6" t="s">
        <v>387</v>
      </c>
      <c r="C109" s="9" t="n">
        <f aca="false">COUNTIF(Composants!C:C,A109)</f>
        <v>1</v>
      </c>
      <c r="D109" s="9" t="n">
        <f aca="false">SUMIF(Composants!C:C,A109,Composants!E:E)</f>
        <v>1</v>
      </c>
      <c r="E109" s="9" t="n">
        <f aca="false">COUNTIF(Sources!A:A,A109)</f>
        <v>2</v>
      </c>
      <c r="F109" s="9" t="str">
        <f aca="false">IF(E109&gt;0,"Renseigné","À renseigner")</f>
        <v>Renseigné</v>
      </c>
      <c r="G109" s="9" t="n">
        <f aca="false">SUMIF(Plan_matériaux!$C$2:$C$19,A109,Plan_matériaux!$G$2:$G$19)</f>
        <v>0</v>
      </c>
    </row>
    <row r="110" customFormat="false" ht="15" hidden="false" customHeight="false" outlineLevel="0" collapsed="false">
      <c r="A110" s="6" t="n">
        <v>21024</v>
      </c>
      <c r="B110" s="6" t="s">
        <v>388</v>
      </c>
      <c r="C110" s="9" t="n">
        <f aca="false">COUNTIF(Composants!C:C,A110)</f>
        <v>1</v>
      </c>
      <c r="D110" s="9" t="n">
        <f aca="false">SUMIF(Composants!C:C,A110,Composants!E:E)</f>
        <v>1</v>
      </c>
      <c r="E110" s="9" t="n">
        <f aca="false">COUNTIF(Sources!A:A,A110)</f>
        <v>1</v>
      </c>
      <c r="F110" s="9" t="str">
        <f aca="false">IF(E110&gt;0,"Renseigné","À renseigner")</f>
        <v>Renseigné</v>
      </c>
      <c r="G110" s="9" t="n">
        <f aca="false">SUMIF(Plan_matériaux!$C$2:$C$19,A110,Plan_matériaux!$G$2:$G$19)</f>
        <v>0</v>
      </c>
    </row>
  </sheetData>
  <autoFilter ref="A1:G98"/>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18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14"/>
    <col collapsed="false" customWidth="true" hidden="false" outlineLevel="0" max="2" min="2" style="1" width="30"/>
    <col collapsed="false" customWidth="true" hidden="false" outlineLevel="0" max="3" min="3" style="1" width="15"/>
    <col collapsed="false" customWidth="true" hidden="false" outlineLevel="0" max="4" min="4" style="1" width="44"/>
    <col collapsed="false" customWidth="true" hidden="false" outlineLevel="0" max="5" min="5" style="1" width="24"/>
    <col collapsed="false" customWidth="true" hidden="false" outlineLevel="0" max="7" min="6" style="1" width="11"/>
    <col collapsed="false" customWidth="true" hidden="false" outlineLevel="0" max="8" min="8" style="1" width="13"/>
    <col collapsed="false" customWidth="true" hidden="false" outlineLevel="0" max="9" min="9" style="1" width="34"/>
    <col collapsed="false" customWidth="true" hidden="false" outlineLevel="0" max="10" min="10" style="1" width="46"/>
  </cols>
  <sheetData>
    <row r="1" customFormat="false" ht="31.5" hidden="false" customHeight="true" outlineLevel="0" collapsed="false">
      <c r="A1" s="5" t="s">
        <v>263</v>
      </c>
      <c r="B1" s="5" t="s">
        <v>264</v>
      </c>
      <c r="C1" s="5" t="s">
        <v>267</v>
      </c>
      <c r="D1" s="5" t="s">
        <v>394</v>
      </c>
      <c r="E1" s="5" t="s">
        <v>395</v>
      </c>
      <c r="F1" s="5" t="s">
        <v>396</v>
      </c>
      <c r="G1" s="5" t="s">
        <v>397</v>
      </c>
      <c r="H1" s="5" t="s">
        <v>398</v>
      </c>
      <c r="I1" s="5" t="s">
        <v>399</v>
      </c>
      <c r="J1" s="5" t="s">
        <v>400</v>
      </c>
    </row>
    <row r="2" customFormat="false" ht="15" hidden="false" customHeight="true" outlineLevel="0" collapsed="false">
      <c r="A2" s="6" t="n">
        <v>3173</v>
      </c>
      <c r="B2" s="15" t="s">
        <v>272</v>
      </c>
      <c r="C2" s="6" t="s">
        <v>401</v>
      </c>
      <c r="D2" s="6" t="s">
        <v>402</v>
      </c>
      <c r="E2" s="6" t="s">
        <v>403</v>
      </c>
      <c r="F2" s="7" t="n">
        <v>11</v>
      </c>
      <c r="G2" s="7" t="n">
        <v>17</v>
      </c>
      <c r="H2" s="9"/>
      <c r="I2" s="6" t="s">
        <v>404</v>
      </c>
      <c r="J2" s="6" t="s">
        <v>405</v>
      </c>
    </row>
    <row r="3" customFormat="false" ht="15" hidden="false" customHeight="true" outlineLevel="0" collapsed="false">
      <c r="A3" s="6" t="n">
        <v>3173</v>
      </c>
      <c r="B3" s="15" t="s">
        <v>272</v>
      </c>
      <c r="C3" s="6" t="s">
        <v>401</v>
      </c>
      <c r="D3" s="6" t="s">
        <v>402</v>
      </c>
      <c r="E3" s="6" t="s">
        <v>406</v>
      </c>
      <c r="F3" s="7" t="n">
        <v>11</v>
      </c>
      <c r="G3" s="7" t="n">
        <v>17</v>
      </c>
      <c r="H3" s="9"/>
      <c r="I3" s="6" t="s">
        <v>404</v>
      </c>
      <c r="J3" s="6" t="s">
        <v>405</v>
      </c>
    </row>
    <row r="4" customFormat="false" ht="15" hidden="false" customHeight="true" outlineLevel="0" collapsed="false">
      <c r="A4" s="6" t="n">
        <v>3173</v>
      </c>
      <c r="B4" s="15" t="s">
        <v>272</v>
      </c>
      <c r="C4" s="6" t="s">
        <v>401</v>
      </c>
      <c r="D4" s="6" t="s">
        <v>402</v>
      </c>
      <c r="E4" s="6" t="s">
        <v>407</v>
      </c>
      <c r="F4" s="7" t="n">
        <v>11</v>
      </c>
      <c r="G4" s="7" t="n">
        <v>17</v>
      </c>
      <c r="H4" s="9"/>
      <c r="I4" s="6" t="s">
        <v>404</v>
      </c>
      <c r="J4" s="6" t="s">
        <v>405</v>
      </c>
    </row>
    <row r="5" customFormat="false" ht="15" hidden="false" customHeight="true" outlineLevel="0" collapsed="false">
      <c r="A5" s="6" t="n">
        <v>3730</v>
      </c>
      <c r="B5" s="15" t="s">
        <v>343</v>
      </c>
      <c r="C5" s="6" t="s">
        <v>401</v>
      </c>
      <c r="D5" s="6" t="s">
        <v>408</v>
      </c>
      <c r="E5" s="6" t="s">
        <v>409</v>
      </c>
      <c r="F5" s="7" t="n">
        <v>21</v>
      </c>
      <c r="G5" s="7" t="n">
        <v>30</v>
      </c>
      <c r="H5" s="9"/>
      <c r="I5" s="6" t="s">
        <v>404</v>
      </c>
      <c r="J5" s="6"/>
    </row>
    <row r="6" customFormat="false" ht="15" hidden="false" customHeight="true" outlineLevel="0" collapsed="false">
      <c r="A6" s="6" t="n">
        <v>3730</v>
      </c>
      <c r="B6" s="15" t="s">
        <v>343</v>
      </c>
      <c r="C6" s="6" t="s">
        <v>401</v>
      </c>
      <c r="D6" s="6" t="s">
        <v>408</v>
      </c>
      <c r="E6" s="6" t="s">
        <v>410</v>
      </c>
      <c r="F6" s="7" t="n">
        <v>21</v>
      </c>
      <c r="G6" s="7" t="n">
        <v>30</v>
      </c>
      <c r="H6" s="9"/>
      <c r="I6" s="6" t="s">
        <v>404</v>
      </c>
      <c r="J6" s="6"/>
    </row>
    <row r="7" customFormat="false" ht="15" hidden="false" customHeight="true" outlineLevel="0" collapsed="false">
      <c r="A7" s="6" t="n">
        <v>3172</v>
      </c>
      <c r="B7" s="15" t="s">
        <v>323</v>
      </c>
      <c r="C7" s="6" t="s">
        <v>401</v>
      </c>
      <c r="D7" s="6" t="s">
        <v>411</v>
      </c>
      <c r="E7" s="6" t="s">
        <v>406</v>
      </c>
      <c r="F7" s="7"/>
      <c r="G7" s="7"/>
      <c r="H7" s="9"/>
      <c r="I7" s="6" t="s">
        <v>404</v>
      </c>
      <c r="J7" s="6"/>
    </row>
    <row r="8" customFormat="false" ht="15" hidden="false" customHeight="true" outlineLevel="0" collapsed="false">
      <c r="A8" s="6" t="n">
        <v>2677</v>
      </c>
      <c r="B8" s="15" t="s">
        <v>273</v>
      </c>
      <c r="C8" s="6" t="s">
        <v>401</v>
      </c>
      <c r="D8" s="6" t="s">
        <v>412</v>
      </c>
      <c r="E8" s="6" t="s">
        <v>406</v>
      </c>
      <c r="F8" s="7" t="n">
        <v>10</v>
      </c>
      <c r="G8" s="7" t="n">
        <v>17</v>
      </c>
      <c r="H8" s="9"/>
      <c r="I8" s="6" t="s">
        <v>404</v>
      </c>
      <c r="J8" s="6"/>
    </row>
    <row r="9" customFormat="false" ht="15" hidden="false" customHeight="true" outlineLevel="0" collapsed="false">
      <c r="A9" s="6" t="n">
        <v>2677</v>
      </c>
      <c r="B9" s="15" t="s">
        <v>273</v>
      </c>
      <c r="C9" s="6" t="s">
        <v>401</v>
      </c>
      <c r="D9" s="6" t="s">
        <v>412</v>
      </c>
      <c r="E9" s="6" t="s">
        <v>413</v>
      </c>
      <c r="F9" s="7" t="n">
        <v>10</v>
      </c>
      <c r="G9" s="7" t="n">
        <v>17</v>
      </c>
      <c r="H9" s="9"/>
      <c r="I9" s="6" t="s">
        <v>404</v>
      </c>
      <c r="J9" s="6"/>
    </row>
    <row r="10" customFormat="false" ht="15" hidden="false" customHeight="true" outlineLevel="0" collapsed="false">
      <c r="A10" s="6" t="n">
        <v>3404</v>
      </c>
      <c r="B10" s="15" t="s">
        <v>358</v>
      </c>
      <c r="C10" s="6" t="s">
        <v>401</v>
      </c>
      <c r="D10" s="6" t="s">
        <v>414</v>
      </c>
      <c r="E10" s="6" t="s">
        <v>415</v>
      </c>
      <c r="F10" s="7" t="n">
        <v>31</v>
      </c>
      <c r="G10" s="7" t="n">
        <v>49</v>
      </c>
      <c r="H10" s="9"/>
      <c r="I10" s="6" t="s">
        <v>404</v>
      </c>
      <c r="J10" s="6" t="s">
        <v>416</v>
      </c>
    </row>
    <row r="11" customFormat="false" ht="15" hidden="false" customHeight="true" outlineLevel="0" collapsed="false">
      <c r="A11" s="6" t="n">
        <v>3404</v>
      </c>
      <c r="B11" s="15" t="s">
        <v>358</v>
      </c>
      <c r="C11" s="6" t="s">
        <v>401</v>
      </c>
      <c r="D11" s="6" t="s">
        <v>414</v>
      </c>
      <c r="E11" s="6" t="s">
        <v>417</v>
      </c>
      <c r="F11" s="7" t="n">
        <v>31</v>
      </c>
      <c r="G11" s="7" t="n">
        <v>49</v>
      </c>
      <c r="H11" s="9"/>
      <c r="I11" s="6" t="s">
        <v>404</v>
      </c>
      <c r="J11" s="6" t="s">
        <v>416</v>
      </c>
    </row>
    <row r="12" customFormat="false" ht="15" hidden="false" customHeight="true" outlineLevel="0" collapsed="false">
      <c r="A12" s="6" t="n">
        <v>3404</v>
      </c>
      <c r="B12" s="15" t="s">
        <v>358</v>
      </c>
      <c r="C12" s="6" t="s">
        <v>401</v>
      </c>
      <c r="D12" s="6" t="s">
        <v>414</v>
      </c>
      <c r="E12" s="6" t="s">
        <v>418</v>
      </c>
      <c r="F12" s="7" t="n">
        <v>31</v>
      </c>
      <c r="G12" s="7" t="n">
        <v>49</v>
      </c>
      <c r="H12" s="9"/>
      <c r="I12" s="6" t="s">
        <v>404</v>
      </c>
      <c r="J12" s="6" t="s">
        <v>416</v>
      </c>
    </row>
    <row r="13" customFormat="false" ht="15" hidden="false" customHeight="true" outlineLevel="0" collapsed="false">
      <c r="A13" s="6" t="n">
        <v>3404</v>
      </c>
      <c r="B13" s="15" t="s">
        <v>358</v>
      </c>
      <c r="C13" s="6" t="s">
        <v>401</v>
      </c>
      <c r="D13" s="6" t="s">
        <v>414</v>
      </c>
      <c r="E13" s="6" t="s">
        <v>419</v>
      </c>
      <c r="F13" s="7" t="n">
        <v>31</v>
      </c>
      <c r="G13" s="7" t="n">
        <v>49</v>
      </c>
      <c r="H13" s="9"/>
      <c r="I13" s="6" t="s">
        <v>404</v>
      </c>
      <c r="J13" s="6" t="s">
        <v>416</v>
      </c>
    </row>
    <row r="14" customFormat="false" ht="15" hidden="false" customHeight="true" outlineLevel="0" collapsed="false">
      <c r="A14" s="6" t="n">
        <v>769</v>
      </c>
      <c r="B14" s="15" t="s">
        <v>278</v>
      </c>
      <c r="C14" s="6" t="s">
        <v>401</v>
      </c>
      <c r="D14" s="6" t="s">
        <v>420</v>
      </c>
      <c r="E14" s="6" t="s">
        <v>421</v>
      </c>
      <c r="F14" s="7" t="n">
        <v>5</v>
      </c>
      <c r="G14" s="7" t="n">
        <v>17</v>
      </c>
      <c r="H14" s="9"/>
      <c r="I14" s="6" t="s">
        <v>404</v>
      </c>
      <c r="J14" s="6"/>
    </row>
    <row r="15" customFormat="false" ht="15" hidden="false" customHeight="true" outlineLevel="0" collapsed="false">
      <c r="A15" s="6" t="n">
        <v>769</v>
      </c>
      <c r="B15" s="15" t="s">
        <v>278</v>
      </c>
      <c r="C15" s="6" t="s">
        <v>401</v>
      </c>
      <c r="D15" s="6" t="s">
        <v>420</v>
      </c>
      <c r="E15" s="6" t="s">
        <v>406</v>
      </c>
      <c r="F15" s="7" t="n">
        <v>5</v>
      </c>
      <c r="G15" s="7" t="n">
        <v>17</v>
      </c>
      <c r="H15" s="9"/>
      <c r="I15" s="6" t="s">
        <v>404</v>
      </c>
      <c r="J15" s="6"/>
    </row>
    <row r="16" customFormat="false" ht="15" hidden="false" customHeight="true" outlineLevel="0" collapsed="false">
      <c r="A16" s="6" t="n">
        <v>769</v>
      </c>
      <c r="B16" s="15" t="s">
        <v>278</v>
      </c>
      <c r="C16" s="6" t="s">
        <v>401</v>
      </c>
      <c r="D16" s="6" t="s">
        <v>420</v>
      </c>
      <c r="E16" s="6" t="s">
        <v>422</v>
      </c>
      <c r="F16" s="7" t="n">
        <v>5</v>
      </c>
      <c r="G16" s="7" t="n">
        <v>17</v>
      </c>
      <c r="H16" s="9"/>
      <c r="I16" s="6" t="s">
        <v>404</v>
      </c>
      <c r="J16" s="6"/>
    </row>
    <row r="17" customFormat="false" ht="15" hidden="false" customHeight="true" outlineLevel="0" collapsed="false">
      <c r="A17" s="6" t="n">
        <v>5503</v>
      </c>
      <c r="B17" s="15" t="s">
        <v>313</v>
      </c>
      <c r="C17" s="6" t="s">
        <v>401</v>
      </c>
      <c r="D17" s="6" t="s">
        <v>423</v>
      </c>
      <c r="E17" s="6" t="s">
        <v>403</v>
      </c>
      <c r="F17" s="7" t="n">
        <v>5</v>
      </c>
      <c r="G17" s="7" t="n">
        <v>22</v>
      </c>
      <c r="H17" s="9"/>
      <c r="I17" s="6" t="s">
        <v>404</v>
      </c>
      <c r="J17" s="6" t="s">
        <v>424</v>
      </c>
    </row>
    <row r="18" customFormat="false" ht="15" hidden="false" customHeight="true" outlineLevel="0" collapsed="false">
      <c r="A18" s="6" t="n">
        <v>5503</v>
      </c>
      <c r="B18" s="15" t="s">
        <v>313</v>
      </c>
      <c r="C18" s="6" t="s">
        <v>401</v>
      </c>
      <c r="D18" s="6" t="s">
        <v>423</v>
      </c>
      <c r="E18" s="6" t="s">
        <v>413</v>
      </c>
      <c r="F18" s="7" t="n">
        <v>5</v>
      </c>
      <c r="G18" s="7" t="n">
        <v>22</v>
      </c>
      <c r="H18" s="9"/>
      <c r="I18" s="6" t="s">
        <v>404</v>
      </c>
      <c r="J18" s="6" t="s">
        <v>424</v>
      </c>
    </row>
    <row r="19" customFormat="false" ht="15" hidden="false" customHeight="true" outlineLevel="0" collapsed="false">
      <c r="A19" s="6" t="n">
        <v>5503</v>
      </c>
      <c r="B19" s="15" t="s">
        <v>313</v>
      </c>
      <c r="C19" s="6" t="s">
        <v>401</v>
      </c>
      <c r="D19" s="6" t="s">
        <v>423</v>
      </c>
      <c r="E19" s="6" t="s">
        <v>409</v>
      </c>
      <c r="F19" s="7" t="n">
        <v>5</v>
      </c>
      <c r="G19" s="7" t="n">
        <v>22</v>
      </c>
      <c r="H19" s="9"/>
      <c r="I19" s="6" t="s">
        <v>404</v>
      </c>
      <c r="J19" s="6" t="s">
        <v>424</v>
      </c>
    </row>
    <row r="20" customFormat="false" ht="15" hidden="false" customHeight="true" outlineLevel="0" collapsed="false">
      <c r="A20" s="6" t="n">
        <v>2673</v>
      </c>
      <c r="B20" s="15" t="s">
        <v>314</v>
      </c>
      <c r="C20" s="6" t="s">
        <v>401</v>
      </c>
      <c r="D20" s="6" t="s">
        <v>425</v>
      </c>
      <c r="E20" s="6" t="s">
        <v>413</v>
      </c>
      <c r="F20" s="7" t="n">
        <v>10</v>
      </c>
      <c r="G20" s="7" t="n">
        <v>12</v>
      </c>
      <c r="H20" s="9"/>
      <c r="I20" s="6" t="s">
        <v>404</v>
      </c>
      <c r="J20" s="6"/>
    </row>
    <row r="21" customFormat="false" ht="15" hidden="false" customHeight="true" outlineLevel="0" collapsed="false">
      <c r="A21" s="6" t="n">
        <v>2886</v>
      </c>
      <c r="B21" s="15" t="s">
        <v>306</v>
      </c>
      <c r="C21" s="6" t="s">
        <v>401</v>
      </c>
      <c r="D21" s="6" t="s">
        <v>426</v>
      </c>
      <c r="E21" s="6" t="s">
        <v>427</v>
      </c>
      <c r="F21" s="7" t="n">
        <v>6</v>
      </c>
      <c r="G21" s="7" t="n">
        <v>10</v>
      </c>
      <c r="H21" s="9"/>
      <c r="I21" s="6" t="s">
        <v>404</v>
      </c>
      <c r="J21" s="6"/>
    </row>
    <row r="22" customFormat="false" ht="15" hidden="false" customHeight="true" outlineLevel="0" collapsed="false">
      <c r="A22" s="6" t="n">
        <v>2675</v>
      </c>
      <c r="B22" s="15" t="s">
        <v>298</v>
      </c>
      <c r="C22" s="6" t="s">
        <v>401</v>
      </c>
      <c r="D22" s="6" t="s">
        <v>428</v>
      </c>
      <c r="E22" s="6" t="s">
        <v>403</v>
      </c>
      <c r="F22" s="7" t="n">
        <v>10</v>
      </c>
      <c r="G22" s="7" t="n">
        <v>20</v>
      </c>
      <c r="H22" s="9"/>
      <c r="I22" s="6" t="s">
        <v>404</v>
      </c>
      <c r="J22" s="6" t="s">
        <v>429</v>
      </c>
    </row>
    <row r="23" customFormat="false" ht="15" hidden="false" customHeight="true" outlineLevel="0" collapsed="false">
      <c r="A23" s="6" t="n">
        <v>2675</v>
      </c>
      <c r="B23" s="15" t="s">
        <v>298</v>
      </c>
      <c r="C23" s="6" t="s">
        <v>401</v>
      </c>
      <c r="D23" s="6" t="s">
        <v>428</v>
      </c>
      <c r="E23" s="6" t="s">
        <v>413</v>
      </c>
      <c r="F23" s="7" t="n">
        <v>10</v>
      </c>
      <c r="G23" s="7" t="n">
        <v>20</v>
      </c>
      <c r="H23" s="9"/>
      <c r="I23" s="6" t="s">
        <v>404</v>
      </c>
      <c r="J23" s="6" t="s">
        <v>429</v>
      </c>
    </row>
    <row r="24" customFormat="false" ht="15" hidden="false" customHeight="true" outlineLevel="0" collapsed="false">
      <c r="A24" s="6" t="n">
        <v>2675</v>
      </c>
      <c r="B24" s="15" t="s">
        <v>298</v>
      </c>
      <c r="C24" s="6" t="s">
        <v>401</v>
      </c>
      <c r="D24" s="6" t="s">
        <v>428</v>
      </c>
      <c r="E24" s="6" t="s">
        <v>409</v>
      </c>
      <c r="F24" s="7" t="n">
        <v>10</v>
      </c>
      <c r="G24" s="7" t="n">
        <v>20</v>
      </c>
      <c r="H24" s="9"/>
      <c r="I24" s="6" t="s">
        <v>404</v>
      </c>
      <c r="J24" s="6" t="s">
        <v>429</v>
      </c>
    </row>
    <row r="25" customFormat="false" ht="15" hidden="false" customHeight="true" outlineLevel="0" collapsed="false">
      <c r="A25" s="6" t="n">
        <v>2674</v>
      </c>
      <c r="B25" s="15" t="s">
        <v>325</v>
      </c>
      <c r="C25" s="6" t="s">
        <v>401</v>
      </c>
      <c r="D25" s="6" t="s">
        <v>428</v>
      </c>
      <c r="E25" s="6" t="s">
        <v>403</v>
      </c>
      <c r="F25" s="7" t="n">
        <v>10</v>
      </c>
      <c r="G25" s="7" t="n">
        <v>20</v>
      </c>
      <c r="H25" s="9"/>
      <c r="I25" s="6" t="s">
        <v>404</v>
      </c>
      <c r="J25" s="6" t="s">
        <v>429</v>
      </c>
    </row>
    <row r="26" customFormat="false" ht="15" hidden="false" customHeight="true" outlineLevel="0" collapsed="false">
      <c r="A26" s="6" t="n">
        <v>2674</v>
      </c>
      <c r="B26" s="15" t="s">
        <v>325</v>
      </c>
      <c r="C26" s="6" t="s">
        <v>401</v>
      </c>
      <c r="D26" s="6" t="s">
        <v>428</v>
      </c>
      <c r="E26" s="6" t="s">
        <v>413</v>
      </c>
      <c r="F26" s="7" t="n">
        <v>10</v>
      </c>
      <c r="G26" s="7" t="n">
        <v>20</v>
      </c>
      <c r="H26" s="9"/>
      <c r="I26" s="6" t="s">
        <v>404</v>
      </c>
      <c r="J26" s="6" t="s">
        <v>429</v>
      </c>
    </row>
    <row r="27" customFormat="false" ht="15" hidden="false" customHeight="true" outlineLevel="0" collapsed="false">
      <c r="A27" s="6" t="n">
        <v>2674</v>
      </c>
      <c r="B27" s="15" t="s">
        <v>325</v>
      </c>
      <c r="C27" s="6" t="s">
        <v>401</v>
      </c>
      <c r="D27" s="6" t="s">
        <v>428</v>
      </c>
      <c r="E27" s="6" t="s">
        <v>409</v>
      </c>
      <c r="F27" s="7" t="n">
        <v>10</v>
      </c>
      <c r="G27" s="7" t="n">
        <v>20</v>
      </c>
      <c r="H27" s="9"/>
      <c r="I27" s="6" t="s">
        <v>404</v>
      </c>
      <c r="J27" s="6" t="s">
        <v>429</v>
      </c>
    </row>
    <row r="28" customFormat="false" ht="15" hidden="false" customHeight="true" outlineLevel="0" collapsed="false">
      <c r="A28" s="6" t="n">
        <v>1081</v>
      </c>
      <c r="B28" s="15" t="s">
        <v>336</v>
      </c>
      <c r="C28" s="6" t="s">
        <v>401</v>
      </c>
      <c r="D28" s="6" t="s">
        <v>430</v>
      </c>
      <c r="E28" s="6" t="s">
        <v>431</v>
      </c>
      <c r="F28" s="7" t="n">
        <v>15</v>
      </c>
      <c r="G28" s="7" t="n">
        <v>20</v>
      </c>
      <c r="H28" s="9"/>
      <c r="I28" s="6" t="s">
        <v>404</v>
      </c>
      <c r="J28" s="6"/>
    </row>
    <row r="29" customFormat="false" ht="15" hidden="false" customHeight="true" outlineLevel="0" collapsed="false">
      <c r="A29" s="6" t="n">
        <v>2924</v>
      </c>
      <c r="B29" s="15" t="s">
        <v>331</v>
      </c>
      <c r="C29" s="6" t="s">
        <v>401</v>
      </c>
      <c r="D29" s="6" t="s">
        <v>432</v>
      </c>
      <c r="E29" s="6" t="s">
        <v>406</v>
      </c>
      <c r="F29" s="7" t="n">
        <v>14</v>
      </c>
      <c r="G29" s="7" t="n">
        <v>15</v>
      </c>
      <c r="H29" s="9"/>
      <c r="I29" s="6" t="s">
        <v>404</v>
      </c>
      <c r="J29" s="6"/>
    </row>
    <row r="30" customFormat="false" ht="15" hidden="false" customHeight="true" outlineLevel="0" collapsed="false">
      <c r="A30" s="6" t="n">
        <v>5051</v>
      </c>
      <c r="B30" s="15" t="s">
        <v>334</v>
      </c>
      <c r="C30" s="6" t="s">
        <v>401</v>
      </c>
      <c r="D30" s="6" t="s">
        <v>433</v>
      </c>
      <c r="E30" s="6" t="s">
        <v>434</v>
      </c>
      <c r="F30" s="7" t="n">
        <v>21</v>
      </c>
      <c r="G30" s="7" t="n">
        <v>25</v>
      </c>
      <c r="H30" s="9"/>
      <c r="I30" s="6" t="s">
        <v>404</v>
      </c>
      <c r="J30" s="6" t="s">
        <v>435</v>
      </c>
    </row>
    <row r="31" customFormat="false" ht="15" hidden="false" customHeight="true" outlineLevel="0" collapsed="false">
      <c r="A31" s="6" t="n">
        <v>4655</v>
      </c>
      <c r="B31" s="15" t="s">
        <v>359</v>
      </c>
      <c r="C31" s="6" t="s">
        <v>436</v>
      </c>
      <c r="D31" s="6" t="s">
        <v>437</v>
      </c>
      <c r="E31" s="6" t="s">
        <v>438</v>
      </c>
      <c r="F31" s="7" t="n">
        <v>35</v>
      </c>
      <c r="G31" s="7" t="n">
        <v>37</v>
      </c>
      <c r="H31" s="9"/>
      <c r="I31" s="6" t="s">
        <v>404</v>
      </c>
      <c r="J31" s="6" t="s">
        <v>439</v>
      </c>
    </row>
    <row r="32" customFormat="false" ht="15" hidden="false" customHeight="true" outlineLevel="0" collapsed="false">
      <c r="A32" s="6" t="n">
        <v>12207</v>
      </c>
      <c r="B32" s="15" t="s">
        <v>352</v>
      </c>
      <c r="C32" s="6" t="s">
        <v>401</v>
      </c>
      <c r="D32" s="6" t="s">
        <v>440</v>
      </c>
      <c r="E32" s="6" t="s">
        <v>419</v>
      </c>
      <c r="F32" s="7" t="n">
        <v>41</v>
      </c>
      <c r="G32" s="7" t="n">
        <v>49</v>
      </c>
      <c r="H32" s="9"/>
      <c r="I32" s="6" t="s">
        <v>404</v>
      </c>
      <c r="J32" s="6"/>
    </row>
    <row r="33" customFormat="false" ht="15" hidden="false" customHeight="true" outlineLevel="0" collapsed="false">
      <c r="A33" s="6" t="n">
        <v>12207</v>
      </c>
      <c r="B33" s="15" t="s">
        <v>352</v>
      </c>
      <c r="C33" s="6" t="s">
        <v>401</v>
      </c>
      <c r="D33" s="6" t="s">
        <v>440</v>
      </c>
      <c r="E33" s="6" t="s">
        <v>441</v>
      </c>
      <c r="F33" s="7" t="n">
        <v>50</v>
      </c>
      <c r="G33" s="7" t="n">
        <v>59</v>
      </c>
      <c r="H33" s="9"/>
      <c r="I33" s="6" t="s">
        <v>404</v>
      </c>
      <c r="J33" s="6"/>
    </row>
    <row r="34" customFormat="false" ht="15" hidden="false" customHeight="true" outlineLevel="0" collapsed="false">
      <c r="A34" s="6" t="n">
        <v>2251</v>
      </c>
      <c r="B34" s="15" t="s">
        <v>344</v>
      </c>
      <c r="C34" s="6" t="s">
        <v>401</v>
      </c>
      <c r="D34" s="6" t="s">
        <v>442</v>
      </c>
      <c r="E34" s="6" t="s">
        <v>443</v>
      </c>
      <c r="F34" s="7" t="n">
        <v>18</v>
      </c>
      <c r="G34" s="7" t="n">
        <v>36</v>
      </c>
      <c r="H34" s="9"/>
      <c r="I34" s="6" t="s">
        <v>404</v>
      </c>
      <c r="J34" s="6"/>
    </row>
    <row r="35" customFormat="false" ht="15" hidden="false" customHeight="true" outlineLevel="0" collapsed="false">
      <c r="A35" s="6" t="n">
        <v>723</v>
      </c>
      <c r="B35" s="15" t="s">
        <v>321</v>
      </c>
      <c r="C35" s="6" t="s">
        <v>401</v>
      </c>
      <c r="D35" s="6" t="s">
        <v>444</v>
      </c>
      <c r="E35" s="6" t="s">
        <v>431</v>
      </c>
      <c r="F35" s="7" t="n">
        <v>12</v>
      </c>
      <c r="G35" s="7" t="n">
        <v>17</v>
      </c>
      <c r="H35" s="9"/>
      <c r="I35" s="6" t="s">
        <v>404</v>
      </c>
      <c r="J35" s="6" t="s">
        <v>445</v>
      </c>
    </row>
    <row r="36" customFormat="false" ht="15" hidden="false" customHeight="true" outlineLevel="0" collapsed="false">
      <c r="A36" s="6" t="n">
        <v>723</v>
      </c>
      <c r="B36" s="15" t="s">
        <v>321</v>
      </c>
      <c r="C36" s="6" t="s">
        <v>401</v>
      </c>
      <c r="D36" s="6" t="s">
        <v>444</v>
      </c>
      <c r="E36" s="6" t="s">
        <v>413</v>
      </c>
      <c r="F36" s="7" t="n">
        <v>12</v>
      </c>
      <c r="G36" s="7" t="n">
        <v>17</v>
      </c>
      <c r="H36" s="9"/>
      <c r="I36" s="6" t="s">
        <v>404</v>
      </c>
      <c r="J36" s="6" t="s">
        <v>445</v>
      </c>
    </row>
    <row r="37" customFormat="false" ht="15" hidden="false" customHeight="true" outlineLevel="0" collapsed="false">
      <c r="A37" s="6" t="n">
        <v>731</v>
      </c>
      <c r="B37" s="15" t="s">
        <v>329</v>
      </c>
      <c r="C37" s="6" t="s">
        <v>401</v>
      </c>
      <c r="D37" s="6" t="s">
        <v>446</v>
      </c>
      <c r="E37" s="6" t="s">
        <v>413</v>
      </c>
      <c r="F37" s="7" t="n">
        <v>12</v>
      </c>
      <c r="G37" s="7" t="n">
        <v>17</v>
      </c>
      <c r="H37" s="9"/>
      <c r="I37" s="6" t="s">
        <v>404</v>
      </c>
      <c r="J37" s="6" t="s">
        <v>447</v>
      </c>
    </row>
    <row r="38" customFormat="false" ht="15" hidden="false" customHeight="true" outlineLevel="0" collapsed="false">
      <c r="A38" s="6" t="n">
        <v>12204</v>
      </c>
      <c r="B38" s="15" t="s">
        <v>342</v>
      </c>
      <c r="C38" s="6" t="s">
        <v>401</v>
      </c>
      <c r="D38" s="6" t="s">
        <v>448</v>
      </c>
      <c r="E38" s="6" t="s">
        <v>417</v>
      </c>
      <c r="F38" s="7" t="n">
        <v>34</v>
      </c>
      <c r="G38" s="7" t="n">
        <v>37</v>
      </c>
      <c r="H38" s="9"/>
      <c r="I38" s="6" t="s">
        <v>404</v>
      </c>
      <c r="J38" s="6" t="s">
        <v>449</v>
      </c>
    </row>
    <row r="39" customFormat="false" ht="15" hidden="false" customHeight="true" outlineLevel="0" collapsed="false">
      <c r="A39" s="6" t="n">
        <v>5467</v>
      </c>
      <c r="B39" s="15" t="s">
        <v>310</v>
      </c>
      <c r="C39" s="6" t="s">
        <v>401</v>
      </c>
      <c r="D39" s="6" t="s">
        <v>450</v>
      </c>
      <c r="E39" s="6" t="s">
        <v>451</v>
      </c>
      <c r="F39" s="7" t="n">
        <v>7</v>
      </c>
      <c r="G39" s="7" t="n">
        <v>26</v>
      </c>
      <c r="H39" s="9"/>
      <c r="I39" s="6" t="s">
        <v>404</v>
      </c>
      <c r="J39" s="6"/>
    </row>
    <row r="40" customFormat="false" ht="15" hidden="false" customHeight="true" outlineLevel="0" collapsed="false">
      <c r="A40" s="6" t="n">
        <v>5467</v>
      </c>
      <c r="B40" s="15" t="s">
        <v>310</v>
      </c>
      <c r="C40" s="6" t="s">
        <v>401</v>
      </c>
      <c r="D40" s="6" t="s">
        <v>450</v>
      </c>
      <c r="E40" s="6" t="s">
        <v>434</v>
      </c>
      <c r="F40" s="7" t="n">
        <v>7</v>
      </c>
      <c r="G40" s="7" t="n">
        <v>26</v>
      </c>
      <c r="H40" s="9"/>
      <c r="I40" s="6" t="s">
        <v>404</v>
      </c>
      <c r="J40" s="6"/>
    </row>
    <row r="41" customFormat="false" ht="15" hidden="false" customHeight="true" outlineLevel="0" collapsed="false">
      <c r="A41" s="6" t="n">
        <v>1015</v>
      </c>
      <c r="B41" s="15" t="s">
        <v>148</v>
      </c>
      <c r="C41" s="6" t="s">
        <v>401</v>
      </c>
      <c r="D41" s="6" t="s">
        <v>452</v>
      </c>
      <c r="E41" s="6" t="s">
        <v>443</v>
      </c>
      <c r="F41" s="7" t="n">
        <v>19</v>
      </c>
      <c r="G41" s="7" t="n">
        <v>28</v>
      </c>
      <c r="H41" s="9"/>
      <c r="I41" s="6" t="s">
        <v>404</v>
      </c>
      <c r="J41" s="6" t="s">
        <v>453</v>
      </c>
    </row>
    <row r="42" customFormat="false" ht="15" hidden="false" customHeight="true" outlineLevel="0" collapsed="false">
      <c r="A42" s="6" t="n">
        <v>3731</v>
      </c>
      <c r="B42" s="15" t="s">
        <v>276</v>
      </c>
      <c r="C42" s="6" t="s">
        <v>401</v>
      </c>
      <c r="D42" s="6" t="s">
        <v>454</v>
      </c>
      <c r="E42" s="6" t="s">
        <v>410</v>
      </c>
      <c r="F42" s="7" t="n">
        <v>23</v>
      </c>
      <c r="G42" s="7" t="n">
        <v>24</v>
      </c>
      <c r="H42" s="9"/>
      <c r="I42" s="6" t="s">
        <v>404</v>
      </c>
      <c r="J42" s="6"/>
    </row>
    <row r="43" customFormat="false" ht="15" hidden="false" customHeight="true" outlineLevel="0" collapsed="false">
      <c r="A43" s="6" t="n">
        <v>12223</v>
      </c>
      <c r="B43" s="15" t="s">
        <v>270</v>
      </c>
      <c r="C43" s="6" t="s">
        <v>401</v>
      </c>
      <c r="D43" s="6" t="s">
        <v>455</v>
      </c>
      <c r="E43" s="6" t="s">
        <v>456</v>
      </c>
      <c r="F43" s="7" t="n">
        <v>6</v>
      </c>
      <c r="G43" s="7" t="n">
        <v>8</v>
      </c>
      <c r="H43" s="9"/>
      <c r="I43" s="6" t="s">
        <v>404</v>
      </c>
      <c r="J43" s="6" t="s">
        <v>457</v>
      </c>
    </row>
    <row r="44" customFormat="false" ht="15" hidden="false" customHeight="true" outlineLevel="0" collapsed="false">
      <c r="A44" s="6" t="n">
        <v>730</v>
      </c>
      <c r="B44" s="15" t="s">
        <v>328</v>
      </c>
      <c r="C44" s="6" t="s">
        <v>401</v>
      </c>
      <c r="D44" s="6" t="s">
        <v>458</v>
      </c>
      <c r="E44" s="6" t="s">
        <v>413</v>
      </c>
      <c r="F44" s="7" t="n">
        <v>11</v>
      </c>
      <c r="G44" s="7" t="n">
        <v>25</v>
      </c>
      <c r="H44" s="9"/>
      <c r="I44" s="6" t="s">
        <v>404</v>
      </c>
      <c r="J44" s="6" t="s">
        <v>459</v>
      </c>
    </row>
    <row r="45" customFormat="false" ht="15" hidden="false" customHeight="true" outlineLevel="0" collapsed="false">
      <c r="A45" s="6" t="n">
        <v>1468</v>
      </c>
      <c r="B45" s="15" t="s">
        <v>335</v>
      </c>
      <c r="C45" s="6" t="s">
        <v>401</v>
      </c>
      <c r="D45" s="6" t="s">
        <v>458</v>
      </c>
      <c r="E45" s="6" t="s">
        <v>431</v>
      </c>
      <c r="F45" s="7" t="n">
        <v>16</v>
      </c>
      <c r="G45" s="7" t="n">
        <v>25</v>
      </c>
      <c r="H45" s="9"/>
      <c r="I45" s="6" t="s">
        <v>404</v>
      </c>
      <c r="J45" s="6"/>
    </row>
    <row r="46" customFormat="false" ht="15" hidden="false" customHeight="true" outlineLevel="0" collapsed="false">
      <c r="A46" s="6" t="n">
        <v>1468</v>
      </c>
      <c r="B46" s="15" t="s">
        <v>335</v>
      </c>
      <c r="C46" s="6" t="s">
        <v>401</v>
      </c>
      <c r="D46" s="6" t="s">
        <v>458</v>
      </c>
      <c r="E46" s="6" t="s">
        <v>409</v>
      </c>
      <c r="F46" s="7" t="n">
        <v>16</v>
      </c>
      <c r="G46" s="7" t="n">
        <v>25</v>
      </c>
      <c r="H46" s="9"/>
      <c r="I46" s="6" t="s">
        <v>404</v>
      </c>
      <c r="J46" s="6"/>
    </row>
    <row r="47" customFormat="false" ht="15" hidden="false" customHeight="true" outlineLevel="0" collapsed="false">
      <c r="A47" s="6" t="n">
        <v>12037</v>
      </c>
      <c r="B47" s="15" t="s">
        <v>341</v>
      </c>
      <c r="C47" s="6" t="s">
        <v>401</v>
      </c>
      <c r="D47" s="6" t="s">
        <v>460</v>
      </c>
      <c r="E47" s="6" t="s">
        <v>417</v>
      </c>
      <c r="F47" s="7" t="n">
        <v>30</v>
      </c>
      <c r="G47" s="7" t="n">
        <v>50</v>
      </c>
      <c r="H47" s="9"/>
      <c r="I47" s="6" t="s">
        <v>404</v>
      </c>
      <c r="J47" s="6" t="s">
        <v>461</v>
      </c>
    </row>
    <row r="48" customFormat="false" ht="15" hidden="false" customHeight="true" outlineLevel="0" collapsed="false">
      <c r="A48" s="6" t="n">
        <v>12037</v>
      </c>
      <c r="B48" s="15" t="s">
        <v>341</v>
      </c>
      <c r="C48" s="6" t="s">
        <v>401</v>
      </c>
      <c r="D48" s="6" t="s">
        <v>460</v>
      </c>
      <c r="E48" s="6" t="s">
        <v>462</v>
      </c>
      <c r="F48" s="7" t="n">
        <v>30</v>
      </c>
      <c r="G48" s="7" t="n">
        <v>50</v>
      </c>
      <c r="H48" s="9"/>
      <c r="I48" s="6" t="s">
        <v>404</v>
      </c>
      <c r="J48" s="6" t="s">
        <v>461</v>
      </c>
    </row>
    <row r="49" customFormat="false" ht="15" hidden="false" customHeight="true" outlineLevel="0" collapsed="false">
      <c r="A49" s="6" t="n">
        <v>3685</v>
      </c>
      <c r="B49" s="15" t="s">
        <v>299</v>
      </c>
      <c r="C49" s="6" t="s">
        <v>401</v>
      </c>
      <c r="D49" s="6" t="s">
        <v>463</v>
      </c>
      <c r="E49" s="6" t="s">
        <v>464</v>
      </c>
      <c r="F49" s="7" t="n">
        <v>22</v>
      </c>
      <c r="G49" s="7" t="n">
        <v>28</v>
      </c>
      <c r="H49" s="9"/>
      <c r="I49" s="6" t="s">
        <v>404</v>
      </c>
      <c r="J49" s="6"/>
    </row>
    <row r="50" customFormat="false" ht="15" hidden="false" customHeight="true" outlineLevel="0" collapsed="false">
      <c r="A50" s="6" t="n">
        <v>3685</v>
      </c>
      <c r="B50" s="15" t="s">
        <v>299</v>
      </c>
      <c r="C50" s="6" t="s">
        <v>401</v>
      </c>
      <c r="D50" s="6" t="s">
        <v>463</v>
      </c>
      <c r="E50" s="6" t="s">
        <v>415</v>
      </c>
      <c r="F50" s="7" t="n">
        <v>30</v>
      </c>
      <c r="G50" s="7" t="n">
        <v>37</v>
      </c>
      <c r="H50" s="9"/>
      <c r="I50" s="6" t="s">
        <v>404</v>
      </c>
      <c r="J50" s="6"/>
    </row>
    <row r="51" customFormat="false" ht="15" hidden="false" customHeight="true" outlineLevel="0" collapsed="false">
      <c r="A51" s="6" t="n">
        <v>3685</v>
      </c>
      <c r="B51" s="15" t="s">
        <v>299</v>
      </c>
      <c r="C51" s="6" t="s">
        <v>401</v>
      </c>
      <c r="D51" s="6" t="s">
        <v>463</v>
      </c>
      <c r="E51" s="6" t="s">
        <v>438</v>
      </c>
      <c r="F51" s="7" t="n">
        <v>30</v>
      </c>
      <c r="G51" s="7" t="n">
        <v>37</v>
      </c>
      <c r="H51" s="9"/>
      <c r="I51" s="6" t="s">
        <v>404</v>
      </c>
      <c r="J51" s="6"/>
    </row>
    <row r="52" customFormat="false" ht="15" hidden="false" customHeight="true" outlineLevel="0" collapsed="false">
      <c r="A52" s="6" t="n">
        <v>12184</v>
      </c>
      <c r="B52" s="15" t="s">
        <v>326</v>
      </c>
      <c r="C52" s="6" t="s">
        <v>401</v>
      </c>
      <c r="D52" s="6" t="s">
        <v>463</v>
      </c>
      <c r="E52" s="6" t="s">
        <v>415</v>
      </c>
      <c r="F52" s="7" t="n">
        <v>30</v>
      </c>
      <c r="G52" s="7" t="n">
        <v>50</v>
      </c>
      <c r="H52" s="9"/>
      <c r="I52" s="6" t="s">
        <v>404</v>
      </c>
      <c r="J52" s="6"/>
    </row>
    <row r="53" customFormat="false" ht="15" hidden="false" customHeight="true" outlineLevel="0" collapsed="false">
      <c r="A53" s="6" t="n">
        <v>12184</v>
      </c>
      <c r="B53" s="15" t="s">
        <v>326</v>
      </c>
      <c r="C53" s="6" t="s">
        <v>401</v>
      </c>
      <c r="D53" s="6" t="s">
        <v>463</v>
      </c>
      <c r="E53" s="6" t="s">
        <v>438</v>
      </c>
      <c r="F53" s="7" t="n">
        <v>30</v>
      </c>
      <c r="G53" s="7" t="n">
        <v>50</v>
      </c>
      <c r="H53" s="9"/>
      <c r="I53" s="6" t="s">
        <v>404</v>
      </c>
      <c r="J53" s="6"/>
    </row>
    <row r="54" customFormat="false" ht="15" hidden="false" customHeight="true" outlineLevel="0" collapsed="false">
      <c r="A54" s="6" t="n">
        <v>12184</v>
      </c>
      <c r="B54" s="15" t="s">
        <v>326</v>
      </c>
      <c r="C54" s="6" t="s">
        <v>401</v>
      </c>
      <c r="D54" s="6" t="s">
        <v>463</v>
      </c>
      <c r="E54" s="6" t="s">
        <v>465</v>
      </c>
      <c r="F54" s="7" t="n">
        <v>30</v>
      </c>
      <c r="G54" s="7" t="n">
        <v>50</v>
      </c>
      <c r="H54" s="9"/>
      <c r="I54" s="6" t="s">
        <v>404</v>
      </c>
      <c r="J54" s="6"/>
    </row>
    <row r="55" customFormat="false" ht="15" hidden="false" customHeight="true" outlineLevel="0" collapsed="false">
      <c r="A55" s="6" t="n">
        <v>5466</v>
      </c>
      <c r="B55" s="15" t="s">
        <v>305</v>
      </c>
      <c r="C55" s="6" t="s">
        <v>401</v>
      </c>
      <c r="D55" s="6" t="s">
        <v>466</v>
      </c>
      <c r="E55" s="6" t="s">
        <v>422</v>
      </c>
      <c r="F55" s="7" t="n">
        <v>5</v>
      </c>
      <c r="G55" s="7" t="n">
        <v>11</v>
      </c>
      <c r="H55" s="9"/>
      <c r="I55" s="6" t="s">
        <v>404</v>
      </c>
      <c r="J55" s="6"/>
    </row>
    <row r="56" customFormat="false" ht="15" hidden="false" customHeight="true" outlineLevel="0" collapsed="false">
      <c r="A56" s="6" t="n">
        <v>6889</v>
      </c>
      <c r="B56" s="15" t="s">
        <v>295</v>
      </c>
      <c r="C56" s="6" t="s">
        <v>401</v>
      </c>
      <c r="D56" s="6" t="s">
        <v>467</v>
      </c>
      <c r="E56" s="6" t="s">
        <v>468</v>
      </c>
      <c r="F56" s="7" t="n">
        <v>5</v>
      </c>
      <c r="G56" s="7" t="n">
        <v>17</v>
      </c>
      <c r="H56" s="9"/>
      <c r="I56" s="6" t="s">
        <v>404</v>
      </c>
      <c r="J56" s="6"/>
    </row>
    <row r="57" customFormat="false" ht="15" hidden="false" customHeight="true" outlineLevel="0" collapsed="false">
      <c r="A57" s="6" t="n">
        <v>6889</v>
      </c>
      <c r="B57" s="15" t="s">
        <v>295</v>
      </c>
      <c r="C57" s="6" t="s">
        <v>401</v>
      </c>
      <c r="D57" s="6" t="s">
        <v>467</v>
      </c>
      <c r="E57" s="6" t="s">
        <v>413</v>
      </c>
      <c r="F57" s="7" t="n">
        <v>5</v>
      </c>
      <c r="G57" s="7" t="n">
        <v>17</v>
      </c>
      <c r="H57" s="9"/>
      <c r="I57" s="6" t="s">
        <v>404</v>
      </c>
      <c r="J57" s="6"/>
    </row>
    <row r="58" customFormat="false" ht="15" hidden="false" customHeight="true" outlineLevel="0" collapsed="false">
      <c r="A58" s="6" t="n">
        <v>6889</v>
      </c>
      <c r="B58" s="15" t="s">
        <v>295</v>
      </c>
      <c r="C58" s="6" t="s">
        <v>401</v>
      </c>
      <c r="D58" s="6" t="s">
        <v>467</v>
      </c>
      <c r="E58" s="6" t="s">
        <v>403</v>
      </c>
      <c r="F58" s="7" t="n">
        <v>5</v>
      </c>
      <c r="G58" s="7" t="n">
        <v>17</v>
      </c>
      <c r="H58" s="9"/>
      <c r="I58" s="6" t="s">
        <v>404</v>
      </c>
      <c r="J58" s="6"/>
    </row>
    <row r="59" customFormat="false" ht="15" hidden="false" customHeight="true" outlineLevel="0" collapsed="false">
      <c r="A59" s="6" t="n">
        <v>6889</v>
      </c>
      <c r="B59" s="15" t="s">
        <v>295</v>
      </c>
      <c r="C59" s="6" t="s">
        <v>401</v>
      </c>
      <c r="D59" s="6" t="s">
        <v>467</v>
      </c>
      <c r="E59" s="6" t="s">
        <v>451</v>
      </c>
      <c r="F59" s="7" t="n">
        <v>5</v>
      </c>
      <c r="G59" s="7" t="n">
        <v>17</v>
      </c>
      <c r="H59" s="9"/>
      <c r="I59" s="6" t="s">
        <v>404</v>
      </c>
      <c r="J59" s="6"/>
    </row>
    <row r="60" customFormat="false" ht="15" hidden="false" customHeight="true" outlineLevel="0" collapsed="false">
      <c r="A60" s="6" t="n">
        <v>4402</v>
      </c>
      <c r="B60" s="15" t="s">
        <v>366</v>
      </c>
      <c r="C60" s="6" t="s">
        <v>401</v>
      </c>
      <c r="D60" s="6" t="s">
        <v>469</v>
      </c>
      <c r="E60" s="6" t="s">
        <v>462</v>
      </c>
      <c r="F60" s="7" t="n">
        <v>40</v>
      </c>
      <c r="G60" s="7" t="n">
        <v>48</v>
      </c>
      <c r="H60" s="9"/>
      <c r="I60" s="6" t="s">
        <v>404</v>
      </c>
      <c r="J60" s="6"/>
    </row>
    <row r="61" customFormat="false" ht="15" hidden="false" customHeight="true" outlineLevel="0" collapsed="false">
      <c r="A61" s="6" t="n">
        <v>4402</v>
      </c>
      <c r="B61" s="15" t="s">
        <v>366</v>
      </c>
      <c r="C61" s="6" t="s">
        <v>401</v>
      </c>
      <c r="D61" s="6" t="s">
        <v>469</v>
      </c>
      <c r="E61" s="6" t="s">
        <v>470</v>
      </c>
      <c r="F61" s="7" t="n">
        <v>40</v>
      </c>
      <c r="G61" s="7" t="n">
        <v>48</v>
      </c>
      <c r="H61" s="9"/>
      <c r="I61" s="6" t="s">
        <v>404</v>
      </c>
      <c r="J61" s="6"/>
    </row>
    <row r="62" customFormat="false" ht="15" hidden="false" customHeight="true" outlineLevel="0" collapsed="false">
      <c r="A62" s="6" t="n">
        <v>4402</v>
      </c>
      <c r="B62" s="15" t="s">
        <v>366</v>
      </c>
      <c r="C62" s="6" t="s">
        <v>401</v>
      </c>
      <c r="D62" s="6" t="s">
        <v>469</v>
      </c>
      <c r="E62" s="6" t="s">
        <v>471</v>
      </c>
      <c r="F62" s="7" t="n">
        <v>40</v>
      </c>
      <c r="G62" s="7" t="n">
        <v>48</v>
      </c>
      <c r="H62" s="9"/>
      <c r="I62" s="6" t="s">
        <v>404</v>
      </c>
      <c r="J62" s="6"/>
    </row>
    <row r="63" customFormat="false" ht="15" hidden="false" customHeight="true" outlineLevel="0" collapsed="false">
      <c r="A63" s="6" t="n">
        <v>5465</v>
      </c>
      <c r="B63" s="15" t="s">
        <v>304</v>
      </c>
      <c r="C63" s="6" t="s">
        <v>401</v>
      </c>
      <c r="D63" s="6" t="s">
        <v>472</v>
      </c>
      <c r="E63" s="6" t="s">
        <v>468</v>
      </c>
      <c r="F63" s="7" t="n">
        <v>5</v>
      </c>
      <c r="G63" s="7" t="n">
        <v>11</v>
      </c>
      <c r="H63" s="9"/>
      <c r="I63" s="6" t="s">
        <v>404</v>
      </c>
      <c r="J63" s="6"/>
    </row>
    <row r="64" customFormat="false" ht="15" hidden="false" customHeight="true" outlineLevel="0" collapsed="false">
      <c r="A64" s="6" t="n">
        <v>5468</v>
      </c>
      <c r="B64" s="15" t="s">
        <v>318</v>
      </c>
      <c r="C64" s="6" t="s">
        <v>401</v>
      </c>
      <c r="D64" s="6" t="s">
        <v>473</v>
      </c>
      <c r="E64" s="6" t="s">
        <v>403</v>
      </c>
      <c r="F64" s="7" t="n">
        <v>14</v>
      </c>
      <c r="G64" s="7" t="n">
        <v>16</v>
      </c>
      <c r="H64" s="9"/>
      <c r="I64" s="6" t="s">
        <v>404</v>
      </c>
      <c r="J64" s="6" t="s">
        <v>474</v>
      </c>
    </row>
    <row r="65" customFormat="false" ht="15" hidden="false" customHeight="true" outlineLevel="0" collapsed="false">
      <c r="A65" s="6" t="n">
        <v>3174</v>
      </c>
      <c r="B65" s="15" t="s">
        <v>311</v>
      </c>
      <c r="C65" s="6" t="s">
        <v>401</v>
      </c>
      <c r="D65" s="6" t="s">
        <v>475</v>
      </c>
      <c r="E65" s="6" t="s">
        <v>406</v>
      </c>
      <c r="F65" s="7" t="n">
        <v>10</v>
      </c>
      <c r="G65" s="7" t="n">
        <v>18</v>
      </c>
      <c r="H65" s="9"/>
      <c r="I65" s="6" t="s">
        <v>404</v>
      </c>
      <c r="J65" s="6"/>
    </row>
    <row r="66" customFormat="false" ht="15" hidden="false" customHeight="true" outlineLevel="0" collapsed="false">
      <c r="A66" s="6" t="n">
        <v>5471</v>
      </c>
      <c r="B66" s="15" t="s">
        <v>345</v>
      </c>
      <c r="C66" s="6" t="s">
        <v>401</v>
      </c>
      <c r="D66" s="6" t="s">
        <v>476</v>
      </c>
      <c r="E66" s="6" t="s">
        <v>409</v>
      </c>
      <c r="F66" s="7" t="n">
        <v>18</v>
      </c>
      <c r="G66" s="7" t="n">
        <v>27</v>
      </c>
      <c r="H66" s="9"/>
      <c r="I66" s="6" t="s">
        <v>404</v>
      </c>
      <c r="J66" s="6"/>
    </row>
    <row r="67" customFormat="false" ht="15" hidden="false" customHeight="true" outlineLevel="0" collapsed="false">
      <c r="A67" s="6" t="n">
        <v>5471</v>
      </c>
      <c r="B67" s="15" t="s">
        <v>345</v>
      </c>
      <c r="C67" s="6" t="s">
        <v>401</v>
      </c>
      <c r="D67" s="6" t="s">
        <v>476</v>
      </c>
      <c r="E67" s="6" t="s">
        <v>477</v>
      </c>
      <c r="F67" s="7" t="n">
        <v>18</v>
      </c>
      <c r="G67" s="7" t="n">
        <v>27</v>
      </c>
      <c r="H67" s="9"/>
      <c r="I67" s="6" t="s">
        <v>404</v>
      </c>
      <c r="J67" s="6"/>
    </row>
    <row r="68" customFormat="false" ht="15" hidden="false" customHeight="true" outlineLevel="0" collapsed="false">
      <c r="A68" s="6" t="n">
        <v>5469</v>
      </c>
      <c r="B68" s="15" t="s">
        <v>315</v>
      </c>
      <c r="C68" s="6" t="s">
        <v>401</v>
      </c>
      <c r="D68" s="6" t="s">
        <v>478</v>
      </c>
      <c r="E68" s="6" t="s">
        <v>403</v>
      </c>
      <c r="F68" s="7" t="n">
        <v>11</v>
      </c>
      <c r="G68" s="7" t="n">
        <v>19</v>
      </c>
      <c r="H68" s="9"/>
      <c r="I68" s="6" t="s">
        <v>404</v>
      </c>
      <c r="J68" s="6"/>
    </row>
    <row r="69" customFormat="false" ht="15" hidden="false" customHeight="true" outlineLevel="0" collapsed="false">
      <c r="A69" s="6" t="n">
        <v>5469</v>
      </c>
      <c r="B69" s="15" t="s">
        <v>315</v>
      </c>
      <c r="C69" s="6" t="s">
        <v>401</v>
      </c>
      <c r="D69" s="6" t="s">
        <v>478</v>
      </c>
      <c r="E69" s="6" t="s">
        <v>434</v>
      </c>
      <c r="F69" s="7" t="n">
        <v>11</v>
      </c>
      <c r="G69" s="7" t="n">
        <v>19</v>
      </c>
      <c r="H69" s="9"/>
      <c r="I69" s="6" t="s">
        <v>404</v>
      </c>
      <c r="J69" s="6"/>
    </row>
    <row r="70" customFormat="false" ht="15" hidden="false" customHeight="true" outlineLevel="0" collapsed="false">
      <c r="A70" s="6" t="n">
        <v>729</v>
      </c>
      <c r="B70" s="15" t="s">
        <v>327</v>
      </c>
      <c r="C70" s="6" t="s">
        <v>401</v>
      </c>
      <c r="D70" s="6" t="s">
        <v>479</v>
      </c>
      <c r="E70" s="6" t="s">
        <v>413</v>
      </c>
      <c r="F70" s="7" t="n">
        <v>10</v>
      </c>
      <c r="G70" s="7" t="n">
        <v>17</v>
      </c>
      <c r="H70" s="9"/>
      <c r="I70" s="6" t="s">
        <v>404</v>
      </c>
      <c r="J70" s="6"/>
    </row>
    <row r="71" customFormat="false" ht="15" hidden="false" customHeight="true" outlineLevel="0" collapsed="false">
      <c r="A71" s="6" t="n">
        <v>2672</v>
      </c>
      <c r="B71" s="15" t="s">
        <v>300</v>
      </c>
      <c r="C71" s="6" t="s">
        <v>401</v>
      </c>
      <c r="D71" s="6" t="s">
        <v>480</v>
      </c>
      <c r="E71" s="6" t="s">
        <v>421</v>
      </c>
      <c r="F71" s="7" t="n">
        <v>5</v>
      </c>
      <c r="G71" s="7" t="n">
        <v>12</v>
      </c>
      <c r="H71" s="9"/>
      <c r="I71" s="6" t="s">
        <v>404</v>
      </c>
      <c r="J71" s="6" t="s">
        <v>481</v>
      </c>
    </row>
    <row r="72" customFormat="false" ht="15" hidden="false" customHeight="true" outlineLevel="0" collapsed="false">
      <c r="A72" s="6" t="n">
        <v>2672</v>
      </c>
      <c r="B72" s="15" t="s">
        <v>300</v>
      </c>
      <c r="C72" s="6" t="s">
        <v>401</v>
      </c>
      <c r="D72" s="6" t="s">
        <v>480</v>
      </c>
      <c r="E72" s="6" t="s">
        <v>427</v>
      </c>
      <c r="F72" s="7" t="n">
        <v>5</v>
      </c>
      <c r="G72" s="7" t="n">
        <v>12</v>
      </c>
      <c r="H72" s="9"/>
      <c r="I72" s="6" t="s">
        <v>404</v>
      </c>
      <c r="J72" s="6" t="s">
        <v>481</v>
      </c>
    </row>
    <row r="73" customFormat="false" ht="15" hidden="false" customHeight="true" outlineLevel="0" collapsed="false">
      <c r="A73" s="6" t="n">
        <v>2672</v>
      </c>
      <c r="B73" s="15" t="s">
        <v>300</v>
      </c>
      <c r="C73" s="6" t="s">
        <v>401</v>
      </c>
      <c r="D73" s="6" t="s">
        <v>480</v>
      </c>
      <c r="E73" s="6" t="s">
        <v>451</v>
      </c>
      <c r="F73" s="7" t="n">
        <v>5</v>
      </c>
      <c r="G73" s="7" t="n">
        <v>12</v>
      </c>
      <c r="H73" s="9"/>
      <c r="I73" s="6" t="s">
        <v>404</v>
      </c>
      <c r="J73" s="6" t="s">
        <v>481</v>
      </c>
    </row>
    <row r="74" customFormat="false" ht="15" hidden="false" customHeight="true" outlineLevel="0" collapsed="false">
      <c r="A74" s="6" t="n">
        <v>2672</v>
      </c>
      <c r="B74" s="15" t="s">
        <v>300</v>
      </c>
      <c r="C74" s="6" t="s">
        <v>401</v>
      </c>
      <c r="D74" s="6" t="s">
        <v>480</v>
      </c>
      <c r="E74" s="6" t="s">
        <v>456</v>
      </c>
      <c r="F74" s="7" t="n">
        <v>5</v>
      </c>
      <c r="G74" s="7" t="n">
        <v>12</v>
      </c>
      <c r="H74" s="9"/>
      <c r="I74" s="6" t="s">
        <v>404</v>
      </c>
      <c r="J74" s="6" t="s">
        <v>481</v>
      </c>
    </row>
    <row r="75" customFormat="false" ht="15" hidden="false" customHeight="true" outlineLevel="0" collapsed="false">
      <c r="A75" s="6" t="n">
        <v>5504</v>
      </c>
      <c r="B75" s="15" t="s">
        <v>347</v>
      </c>
      <c r="C75" s="6" t="s">
        <v>401</v>
      </c>
      <c r="D75" s="6" t="s">
        <v>482</v>
      </c>
      <c r="E75" s="6" t="s">
        <v>464</v>
      </c>
      <c r="F75" s="7" t="n">
        <v>20</v>
      </c>
      <c r="G75" s="7" t="n">
        <v>32</v>
      </c>
      <c r="H75" s="9"/>
      <c r="I75" s="6" t="s">
        <v>404</v>
      </c>
      <c r="J75" s="6"/>
    </row>
    <row r="76" customFormat="false" ht="15" hidden="false" customHeight="true" outlineLevel="0" collapsed="false">
      <c r="A76" s="6" t="n">
        <v>5504</v>
      </c>
      <c r="B76" s="15" t="s">
        <v>347</v>
      </c>
      <c r="C76" s="6" t="s">
        <v>401</v>
      </c>
      <c r="D76" s="6" t="s">
        <v>482</v>
      </c>
      <c r="E76" s="6" t="s">
        <v>410</v>
      </c>
      <c r="F76" s="7" t="n">
        <v>20</v>
      </c>
      <c r="G76" s="7" t="n">
        <v>32</v>
      </c>
      <c r="H76" s="9"/>
      <c r="I76" s="6" t="s">
        <v>404</v>
      </c>
      <c r="J76" s="6"/>
    </row>
    <row r="77" customFormat="false" ht="15" hidden="false" customHeight="true" outlineLevel="0" collapsed="false">
      <c r="A77" s="6" t="n">
        <v>12206</v>
      </c>
      <c r="B77" s="15" t="s">
        <v>367</v>
      </c>
      <c r="C77" s="6" t="s">
        <v>401</v>
      </c>
      <c r="D77" s="6" t="s">
        <v>483</v>
      </c>
      <c r="E77" s="6" t="s">
        <v>438</v>
      </c>
      <c r="F77" s="7" t="n">
        <v>40</v>
      </c>
      <c r="G77" s="7" t="n">
        <v>44</v>
      </c>
      <c r="H77" s="9"/>
      <c r="I77" s="6" t="s">
        <v>404</v>
      </c>
      <c r="J77" s="6"/>
    </row>
    <row r="78" customFormat="false" ht="15" hidden="false" customHeight="true" outlineLevel="0" collapsed="false">
      <c r="A78" s="6" t="n">
        <v>12206</v>
      </c>
      <c r="B78" s="15" t="s">
        <v>367</v>
      </c>
      <c r="C78" s="6" t="s">
        <v>401</v>
      </c>
      <c r="D78" s="6" t="s">
        <v>483</v>
      </c>
      <c r="E78" s="6" t="s">
        <v>471</v>
      </c>
      <c r="F78" s="7" t="n">
        <v>40</v>
      </c>
      <c r="G78" s="7" t="n">
        <v>44</v>
      </c>
      <c r="H78" s="9"/>
      <c r="I78" s="6" t="s">
        <v>404</v>
      </c>
      <c r="J78" s="6"/>
    </row>
    <row r="79" customFormat="false" ht="15" hidden="false" customHeight="true" outlineLevel="0" collapsed="false">
      <c r="A79" s="6" t="n">
        <v>3667</v>
      </c>
      <c r="B79" s="15" t="s">
        <v>274</v>
      </c>
      <c r="C79" s="6" t="s">
        <v>401</v>
      </c>
      <c r="D79" s="6" t="s">
        <v>484</v>
      </c>
      <c r="E79" s="6" t="s">
        <v>464</v>
      </c>
      <c r="F79" s="7" t="n">
        <v>21</v>
      </c>
      <c r="G79" s="7" t="n">
        <v>26</v>
      </c>
      <c r="H79" s="9"/>
      <c r="I79" s="6" t="s">
        <v>404</v>
      </c>
      <c r="J79" s="6"/>
    </row>
    <row r="80" customFormat="false" ht="15" hidden="false" customHeight="true" outlineLevel="0" collapsed="false">
      <c r="A80" s="6" t="n">
        <v>3667</v>
      </c>
      <c r="B80" s="15" t="s">
        <v>274</v>
      </c>
      <c r="C80" s="6" t="s">
        <v>401</v>
      </c>
      <c r="D80" s="6" t="s">
        <v>484</v>
      </c>
      <c r="E80" s="6" t="s">
        <v>462</v>
      </c>
      <c r="F80" s="7" t="n">
        <v>35</v>
      </c>
      <c r="G80" s="7" t="n">
        <v>41</v>
      </c>
      <c r="H80" s="9"/>
      <c r="I80" s="6" t="s">
        <v>404</v>
      </c>
      <c r="J80" s="6"/>
    </row>
    <row r="81" customFormat="false" ht="15" hidden="false" customHeight="true" outlineLevel="0" collapsed="false">
      <c r="A81" s="6" t="n">
        <v>12208</v>
      </c>
      <c r="B81" s="15" t="s">
        <v>376</v>
      </c>
      <c r="C81" s="6" t="s">
        <v>401</v>
      </c>
      <c r="D81" s="6" t="s">
        <v>485</v>
      </c>
      <c r="E81" s="6" t="s">
        <v>486</v>
      </c>
      <c r="F81" s="7" t="n">
        <v>40</v>
      </c>
      <c r="G81" s="7" t="n">
        <v>60</v>
      </c>
      <c r="H81" s="9"/>
      <c r="I81" s="6" t="s">
        <v>404</v>
      </c>
      <c r="J81" s="6"/>
    </row>
    <row r="82" customFormat="false" ht="15" hidden="false" customHeight="true" outlineLevel="0" collapsed="false">
      <c r="A82" s="6" t="n">
        <v>12208</v>
      </c>
      <c r="B82" s="15" t="s">
        <v>376</v>
      </c>
      <c r="C82" s="6" t="s">
        <v>401</v>
      </c>
      <c r="D82" s="6" t="s">
        <v>485</v>
      </c>
      <c r="E82" s="6" t="s">
        <v>419</v>
      </c>
      <c r="F82" s="7" t="n">
        <v>40</v>
      </c>
      <c r="G82" s="7" t="n">
        <v>60</v>
      </c>
      <c r="H82" s="9"/>
      <c r="I82" s="6" t="s">
        <v>404</v>
      </c>
      <c r="J82" s="6"/>
    </row>
    <row r="83" customFormat="false" ht="15" hidden="false" customHeight="true" outlineLevel="0" collapsed="false">
      <c r="A83" s="6" t="n">
        <v>5470</v>
      </c>
      <c r="B83" s="15" t="s">
        <v>340</v>
      </c>
      <c r="C83" s="6" t="s">
        <v>401</v>
      </c>
      <c r="D83" s="6" t="s">
        <v>487</v>
      </c>
      <c r="E83" s="6" t="s">
        <v>434</v>
      </c>
      <c r="F83" s="7" t="n">
        <v>18</v>
      </c>
      <c r="G83" s="7" t="n">
        <v>23</v>
      </c>
      <c r="H83" s="9"/>
      <c r="I83" s="6" t="s">
        <v>404</v>
      </c>
      <c r="J83" s="6"/>
    </row>
    <row r="84" customFormat="false" ht="15" hidden="false" customHeight="true" outlineLevel="0" collapsed="false">
      <c r="A84" s="6" t="n">
        <v>12202</v>
      </c>
      <c r="B84" s="15" t="s">
        <v>348</v>
      </c>
      <c r="C84" s="6" t="s">
        <v>401</v>
      </c>
      <c r="D84" s="6" t="s">
        <v>488</v>
      </c>
      <c r="E84" s="6" t="s">
        <v>438</v>
      </c>
      <c r="F84" s="7" t="n">
        <v>30</v>
      </c>
      <c r="G84" s="7" t="n">
        <v>38</v>
      </c>
      <c r="H84" s="9"/>
      <c r="I84" s="6" t="s">
        <v>404</v>
      </c>
      <c r="J84" s="6"/>
    </row>
    <row r="85" customFormat="false" ht="15" hidden="false" customHeight="true" outlineLevel="0" collapsed="false">
      <c r="A85" s="6" t="n">
        <v>1080</v>
      </c>
      <c r="B85" s="15" t="s">
        <v>337</v>
      </c>
      <c r="C85" s="6" t="s">
        <v>401</v>
      </c>
      <c r="D85" s="6" t="s">
        <v>489</v>
      </c>
      <c r="E85" s="6" t="s">
        <v>431</v>
      </c>
      <c r="F85" s="7" t="n">
        <v>18</v>
      </c>
      <c r="G85" s="7" t="n">
        <v>19</v>
      </c>
      <c r="H85" s="9"/>
      <c r="I85" s="6" t="s">
        <v>404</v>
      </c>
      <c r="J85" s="6"/>
    </row>
    <row r="86" customFormat="false" ht="15" hidden="false" customHeight="true" outlineLevel="0" collapsed="false">
      <c r="A86" s="6" t="n">
        <v>3712</v>
      </c>
      <c r="B86" s="15" t="s">
        <v>360</v>
      </c>
      <c r="C86" s="6" t="s">
        <v>401</v>
      </c>
      <c r="D86" s="6" t="s">
        <v>490</v>
      </c>
      <c r="E86" s="6" t="s">
        <v>410</v>
      </c>
      <c r="F86" s="7" t="n">
        <v>30</v>
      </c>
      <c r="G86" s="7" t="n">
        <v>31</v>
      </c>
      <c r="H86" s="9"/>
      <c r="I86" s="6" t="s">
        <v>404</v>
      </c>
      <c r="J86" s="6" t="s">
        <v>491</v>
      </c>
    </row>
    <row r="87" customFormat="false" ht="15" hidden="false" customHeight="true" outlineLevel="0" collapsed="false">
      <c r="A87" s="6" t="n">
        <v>12205</v>
      </c>
      <c r="B87" s="15" t="s">
        <v>279</v>
      </c>
      <c r="C87" s="6" t="s">
        <v>401</v>
      </c>
      <c r="D87" s="6" t="s">
        <v>492</v>
      </c>
      <c r="E87" s="6" t="s">
        <v>462</v>
      </c>
      <c r="F87" s="7" t="n">
        <v>35</v>
      </c>
      <c r="G87" s="7" t="n">
        <v>39</v>
      </c>
      <c r="H87" s="9"/>
      <c r="I87" s="6" t="s">
        <v>404</v>
      </c>
      <c r="J87" s="6"/>
    </row>
    <row r="88" customFormat="false" ht="15" hidden="false" customHeight="true" outlineLevel="0" collapsed="false">
      <c r="A88" s="6" t="n">
        <v>7974</v>
      </c>
      <c r="B88" s="15" t="s">
        <v>355</v>
      </c>
      <c r="C88" s="6" t="s">
        <v>401</v>
      </c>
      <c r="D88" s="6" t="s">
        <v>493</v>
      </c>
      <c r="E88" s="6" t="s">
        <v>419</v>
      </c>
      <c r="F88" s="7" t="n">
        <v>40</v>
      </c>
      <c r="G88" s="7" t="n">
        <v>45</v>
      </c>
      <c r="H88" s="9"/>
      <c r="I88" s="6" t="s">
        <v>404</v>
      </c>
      <c r="J88" s="6"/>
    </row>
    <row r="89" customFormat="false" ht="15" hidden="false" customHeight="true" outlineLevel="0" collapsed="false">
      <c r="A89" s="6" t="n">
        <v>7974</v>
      </c>
      <c r="B89" s="15" t="s">
        <v>355</v>
      </c>
      <c r="C89" s="6" t="s">
        <v>401</v>
      </c>
      <c r="D89" s="6" t="s">
        <v>493</v>
      </c>
      <c r="E89" s="6" t="s">
        <v>462</v>
      </c>
      <c r="F89" s="7" t="n">
        <v>40</v>
      </c>
      <c r="G89" s="7" t="n">
        <v>45</v>
      </c>
      <c r="H89" s="9"/>
      <c r="I89" s="6" t="s">
        <v>404</v>
      </c>
      <c r="J89" s="6"/>
    </row>
    <row r="90" customFormat="false" ht="15" hidden="false" customHeight="true" outlineLevel="0" collapsed="false">
      <c r="A90" s="6" t="n">
        <v>7974</v>
      </c>
      <c r="B90" s="15" t="s">
        <v>355</v>
      </c>
      <c r="C90" s="6" t="s">
        <v>401</v>
      </c>
      <c r="D90" s="6" t="s">
        <v>493</v>
      </c>
      <c r="E90" s="6" t="s">
        <v>471</v>
      </c>
      <c r="F90" s="7" t="n">
        <v>40</v>
      </c>
      <c r="G90" s="7" t="n">
        <v>45</v>
      </c>
      <c r="H90" s="9"/>
      <c r="I90" s="6" t="s">
        <v>404</v>
      </c>
      <c r="J90" s="6"/>
    </row>
    <row r="91" customFormat="false" ht="15" hidden="false" customHeight="true" outlineLevel="0" collapsed="false">
      <c r="A91" s="6" t="n">
        <v>6308</v>
      </c>
      <c r="B91" s="15" t="s">
        <v>339</v>
      </c>
      <c r="C91" s="6" t="s">
        <v>494</v>
      </c>
      <c r="D91" s="6" t="s">
        <v>495</v>
      </c>
      <c r="E91" s="6" t="s">
        <v>496</v>
      </c>
      <c r="F91" s="7"/>
      <c r="G91" s="7"/>
      <c r="H91" s="9" t="n">
        <v>25</v>
      </c>
      <c r="I91" s="6" t="s">
        <v>497</v>
      </c>
      <c r="J91" s="6" t="s">
        <v>498</v>
      </c>
    </row>
    <row r="92" customFormat="false" ht="15" hidden="false" customHeight="true" outlineLevel="0" collapsed="false">
      <c r="A92" s="6" t="n">
        <v>6308</v>
      </c>
      <c r="B92" s="15" t="s">
        <v>339</v>
      </c>
      <c r="C92" s="6" t="s">
        <v>494</v>
      </c>
      <c r="D92" s="6" t="s">
        <v>495</v>
      </c>
      <c r="E92" s="6" t="s">
        <v>409</v>
      </c>
      <c r="F92" s="7"/>
      <c r="G92" s="7"/>
      <c r="H92" s="9" t="n">
        <v>60</v>
      </c>
      <c r="I92" s="6" t="s">
        <v>497</v>
      </c>
      <c r="J92" s="6" t="s">
        <v>498</v>
      </c>
    </row>
    <row r="93" customFormat="false" ht="15" hidden="false" customHeight="true" outlineLevel="0" collapsed="false">
      <c r="A93" s="6" t="n">
        <v>6308</v>
      </c>
      <c r="B93" s="15" t="s">
        <v>339</v>
      </c>
      <c r="C93" s="6" t="s">
        <v>494</v>
      </c>
      <c r="D93" s="6" t="s">
        <v>495</v>
      </c>
      <c r="E93" s="6" t="s">
        <v>443</v>
      </c>
      <c r="F93" s="7"/>
      <c r="G93" s="7"/>
      <c r="H93" s="9" t="n">
        <v>60</v>
      </c>
      <c r="I93" s="6" t="s">
        <v>497</v>
      </c>
      <c r="J93" s="6" t="s">
        <v>498</v>
      </c>
    </row>
    <row r="94" customFormat="false" ht="15" hidden="false" customHeight="true" outlineLevel="0" collapsed="false">
      <c r="A94" s="6" t="n">
        <v>6308</v>
      </c>
      <c r="B94" s="15" t="s">
        <v>339</v>
      </c>
      <c r="C94" s="6" t="s">
        <v>494</v>
      </c>
      <c r="D94" s="6" t="s">
        <v>495</v>
      </c>
      <c r="E94" s="6" t="s">
        <v>410</v>
      </c>
      <c r="F94" s="7"/>
      <c r="G94" s="7"/>
      <c r="H94" s="9" t="n">
        <v>60</v>
      </c>
      <c r="I94" s="6" t="s">
        <v>497</v>
      </c>
      <c r="J94" s="6" t="s">
        <v>498</v>
      </c>
    </row>
    <row r="95" customFormat="false" ht="15" hidden="false" customHeight="true" outlineLevel="0" collapsed="false">
      <c r="A95" s="6" t="n">
        <v>6308</v>
      </c>
      <c r="B95" s="15" t="s">
        <v>339</v>
      </c>
      <c r="C95" s="6" t="s">
        <v>494</v>
      </c>
      <c r="D95" s="6" t="s">
        <v>495</v>
      </c>
      <c r="E95" s="6" t="s">
        <v>431</v>
      </c>
      <c r="F95" s="7"/>
      <c r="G95" s="7"/>
      <c r="H95" s="9" t="n">
        <v>60</v>
      </c>
      <c r="I95" s="6" t="s">
        <v>497</v>
      </c>
      <c r="J95" s="6" t="s">
        <v>498</v>
      </c>
    </row>
    <row r="96" customFormat="false" ht="15" hidden="false" customHeight="true" outlineLevel="0" collapsed="false">
      <c r="A96" s="6" t="n">
        <v>6308</v>
      </c>
      <c r="B96" s="15" t="s">
        <v>339</v>
      </c>
      <c r="C96" s="6" t="s">
        <v>494</v>
      </c>
      <c r="D96" s="6" t="s">
        <v>495</v>
      </c>
      <c r="E96" s="6" t="s">
        <v>477</v>
      </c>
      <c r="F96" s="7"/>
      <c r="G96" s="7"/>
      <c r="H96" s="9" t="n">
        <v>60</v>
      </c>
      <c r="I96" s="6" t="s">
        <v>497</v>
      </c>
      <c r="J96" s="6" t="s">
        <v>498</v>
      </c>
    </row>
    <row r="97" customFormat="false" ht="15" hidden="false" customHeight="true" outlineLevel="0" collapsed="false">
      <c r="A97" s="6" t="n">
        <v>6308</v>
      </c>
      <c r="B97" s="15" t="s">
        <v>339</v>
      </c>
      <c r="C97" s="6" t="s">
        <v>494</v>
      </c>
      <c r="D97" s="6" t="s">
        <v>495</v>
      </c>
      <c r="E97" s="6" t="s">
        <v>464</v>
      </c>
      <c r="F97" s="7"/>
      <c r="G97" s="7"/>
      <c r="H97" s="9" t="n">
        <v>60</v>
      </c>
      <c r="I97" s="6" t="s">
        <v>497</v>
      </c>
      <c r="J97" s="6" t="s">
        <v>498</v>
      </c>
    </row>
    <row r="98" customFormat="false" ht="15" hidden="false" customHeight="true" outlineLevel="0" collapsed="false">
      <c r="A98" s="6" t="n">
        <v>6291</v>
      </c>
      <c r="B98" s="15" t="s">
        <v>302</v>
      </c>
      <c r="C98" s="6" t="s">
        <v>494</v>
      </c>
      <c r="D98" s="6" t="s">
        <v>499</v>
      </c>
      <c r="E98" s="6" t="s">
        <v>500</v>
      </c>
      <c r="F98" s="7"/>
      <c r="G98" s="7"/>
      <c r="H98" s="9" t="n">
        <v>60</v>
      </c>
      <c r="I98" s="6" t="s">
        <v>497</v>
      </c>
      <c r="J98" s="6" t="s">
        <v>501</v>
      </c>
    </row>
    <row r="99" customFormat="false" ht="15" hidden="false" customHeight="true" outlineLevel="0" collapsed="false">
      <c r="A99" s="6" t="n">
        <v>6291</v>
      </c>
      <c r="B99" s="15" t="s">
        <v>302</v>
      </c>
      <c r="C99" s="6" t="s">
        <v>494</v>
      </c>
      <c r="D99" s="6" t="s">
        <v>499</v>
      </c>
      <c r="E99" s="6" t="s">
        <v>502</v>
      </c>
      <c r="F99" s="7"/>
      <c r="G99" s="7"/>
      <c r="H99" s="9" t="n">
        <v>15</v>
      </c>
      <c r="I99" s="6" t="s">
        <v>497</v>
      </c>
      <c r="J99" s="6" t="s">
        <v>501</v>
      </c>
    </row>
    <row r="100" customFormat="false" ht="15" hidden="false" customHeight="true" outlineLevel="0" collapsed="false">
      <c r="A100" s="6" t="n">
        <v>6303</v>
      </c>
      <c r="B100" s="15" t="s">
        <v>303</v>
      </c>
      <c r="C100" s="6" t="s">
        <v>494</v>
      </c>
      <c r="D100" s="6" t="s">
        <v>503</v>
      </c>
      <c r="E100" s="6" t="s">
        <v>422</v>
      </c>
      <c r="F100" s="7"/>
      <c r="G100" s="7"/>
      <c r="H100" s="9"/>
      <c r="I100" s="6" t="s">
        <v>497</v>
      </c>
      <c r="J100" s="6" t="s">
        <v>504</v>
      </c>
    </row>
    <row r="101" customFormat="false" ht="15" hidden="false" customHeight="true" outlineLevel="0" collapsed="false">
      <c r="A101" s="6" t="n">
        <v>6303</v>
      </c>
      <c r="B101" s="15" t="s">
        <v>303</v>
      </c>
      <c r="C101" s="6" t="s">
        <v>494</v>
      </c>
      <c r="D101" s="6" t="s">
        <v>503</v>
      </c>
      <c r="E101" s="6" t="s">
        <v>468</v>
      </c>
      <c r="F101" s="7"/>
      <c r="G101" s="7"/>
      <c r="H101" s="9"/>
      <c r="I101" s="6" t="s">
        <v>497</v>
      </c>
      <c r="J101" s="6" t="s">
        <v>504</v>
      </c>
    </row>
    <row r="102" customFormat="false" ht="15" hidden="false" customHeight="true" outlineLevel="0" collapsed="false">
      <c r="A102" s="6" t="n">
        <v>6289</v>
      </c>
      <c r="B102" s="15" t="s">
        <v>319</v>
      </c>
      <c r="C102" s="6" t="s">
        <v>494</v>
      </c>
      <c r="D102" s="6" t="s">
        <v>495</v>
      </c>
      <c r="E102" s="6" t="s">
        <v>502</v>
      </c>
      <c r="F102" s="7"/>
      <c r="G102" s="7"/>
      <c r="H102" s="9"/>
      <c r="I102" s="6" t="s">
        <v>497</v>
      </c>
      <c r="J102" s="6" t="s">
        <v>505</v>
      </c>
    </row>
    <row r="103" customFormat="false" ht="15" hidden="false" customHeight="true" outlineLevel="0" collapsed="false">
      <c r="A103" s="6" t="n">
        <v>6361</v>
      </c>
      <c r="B103" s="15" t="s">
        <v>320</v>
      </c>
      <c r="C103" s="6" t="s">
        <v>494</v>
      </c>
      <c r="D103" s="6" t="s">
        <v>503</v>
      </c>
      <c r="E103" s="6" t="s">
        <v>407</v>
      </c>
      <c r="F103" s="7"/>
      <c r="G103" s="7"/>
      <c r="H103" s="9"/>
      <c r="I103" s="6" t="s">
        <v>497</v>
      </c>
      <c r="J103" s="6" t="s">
        <v>506</v>
      </c>
    </row>
    <row r="104" customFormat="false" ht="15" hidden="false" customHeight="true" outlineLevel="0" collapsed="false">
      <c r="A104" s="6" t="n">
        <v>6361</v>
      </c>
      <c r="B104" s="15" t="s">
        <v>320</v>
      </c>
      <c r="C104" s="6" t="s">
        <v>494</v>
      </c>
      <c r="D104" s="6" t="s">
        <v>503</v>
      </c>
      <c r="E104" s="6" t="s">
        <v>434</v>
      </c>
      <c r="F104" s="7"/>
      <c r="G104" s="7"/>
      <c r="H104" s="9"/>
      <c r="I104" s="6" t="s">
        <v>497</v>
      </c>
      <c r="J104" s="6" t="s">
        <v>506</v>
      </c>
    </row>
    <row r="105" customFormat="false" ht="15" hidden="false" customHeight="true" outlineLevel="0" collapsed="false">
      <c r="A105" s="6" t="n">
        <v>6361</v>
      </c>
      <c r="B105" s="15" t="s">
        <v>320</v>
      </c>
      <c r="C105" s="6" t="s">
        <v>494</v>
      </c>
      <c r="D105" s="6" t="s">
        <v>503</v>
      </c>
      <c r="E105" s="6" t="s">
        <v>413</v>
      </c>
      <c r="F105" s="7"/>
      <c r="G105" s="7"/>
      <c r="H105" s="9"/>
      <c r="I105" s="6" t="s">
        <v>497</v>
      </c>
      <c r="J105" s="6" t="s">
        <v>506</v>
      </c>
    </row>
    <row r="106" customFormat="false" ht="15" hidden="false" customHeight="true" outlineLevel="0" collapsed="false">
      <c r="A106" s="6" t="n">
        <v>6317</v>
      </c>
      <c r="B106" s="15" t="s">
        <v>317</v>
      </c>
      <c r="C106" s="6" t="s">
        <v>494</v>
      </c>
      <c r="D106" s="6" t="s">
        <v>507</v>
      </c>
      <c r="E106" s="6" t="s">
        <v>406</v>
      </c>
      <c r="F106" s="7"/>
      <c r="G106" s="7"/>
      <c r="H106" s="9"/>
      <c r="I106" s="6" t="s">
        <v>508</v>
      </c>
      <c r="J106" s="6" t="s">
        <v>509</v>
      </c>
    </row>
    <row r="107" customFormat="false" ht="15" hidden="false" customHeight="true" outlineLevel="0" collapsed="false">
      <c r="A107" s="6" t="n">
        <v>6522</v>
      </c>
      <c r="B107" s="15" t="s">
        <v>332</v>
      </c>
      <c r="C107" s="6" t="s">
        <v>494</v>
      </c>
      <c r="D107" s="6" t="s">
        <v>510</v>
      </c>
      <c r="E107" s="6" t="s">
        <v>434</v>
      </c>
      <c r="F107" s="7"/>
      <c r="G107" s="7"/>
      <c r="H107" s="9"/>
      <c r="I107" s="6" t="s">
        <v>497</v>
      </c>
      <c r="J107" s="6" t="s">
        <v>511</v>
      </c>
    </row>
    <row r="108" customFormat="false" ht="15" hidden="false" customHeight="true" outlineLevel="0" collapsed="false">
      <c r="A108" s="6" t="n">
        <v>6362</v>
      </c>
      <c r="B108" s="15" t="s">
        <v>351</v>
      </c>
      <c r="C108" s="6" t="s">
        <v>494</v>
      </c>
      <c r="D108" s="6" t="s">
        <v>503</v>
      </c>
      <c r="E108" s="6" t="s">
        <v>415</v>
      </c>
      <c r="F108" s="7"/>
      <c r="G108" s="7"/>
      <c r="H108" s="9"/>
      <c r="I108" s="6" t="s">
        <v>497</v>
      </c>
      <c r="J108" s="6" t="s">
        <v>512</v>
      </c>
    </row>
    <row r="109" customFormat="false" ht="15" hidden="false" customHeight="true" outlineLevel="0" collapsed="false">
      <c r="A109" s="6" t="n">
        <v>6362</v>
      </c>
      <c r="B109" s="15" t="s">
        <v>351</v>
      </c>
      <c r="C109" s="6" t="s">
        <v>494</v>
      </c>
      <c r="D109" s="6" t="s">
        <v>503</v>
      </c>
      <c r="E109" s="6" t="s">
        <v>417</v>
      </c>
      <c r="F109" s="7"/>
      <c r="G109" s="7"/>
      <c r="H109" s="9"/>
      <c r="I109" s="6" t="s">
        <v>497</v>
      </c>
      <c r="J109" s="6" t="s">
        <v>512</v>
      </c>
    </row>
    <row r="110" customFormat="false" ht="15" hidden="false" customHeight="true" outlineLevel="0" collapsed="false">
      <c r="A110" s="6" t="n">
        <v>6362</v>
      </c>
      <c r="B110" s="15" t="s">
        <v>351</v>
      </c>
      <c r="C110" s="6" t="s">
        <v>494</v>
      </c>
      <c r="D110" s="6" t="s">
        <v>503</v>
      </c>
      <c r="E110" s="6" t="s">
        <v>462</v>
      </c>
      <c r="F110" s="7"/>
      <c r="G110" s="7"/>
      <c r="H110" s="9"/>
      <c r="I110" s="6" t="s">
        <v>497</v>
      </c>
      <c r="J110" s="6" t="s">
        <v>512</v>
      </c>
    </row>
    <row r="111" customFormat="false" ht="15" hidden="false" customHeight="true" outlineLevel="0" collapsed="false">
      <c r="A111" s="6" t="n">
        <v>6362</v>
      </c>
      <c r="B111" s="15" t="s">
        <v>351</v>
      </c>
      <c r="C111" s="6" t="s">
        <v>494</v>
      </c>
      <c r="D111" s="6" t="s">
        <v>503</v>
      </c>
      <c r="E111" s="6" t="s">
        <v>438</v>
      </c>
      <c r="F111" s="7"/>
      <c r="G111" s="7"/>
      <c r="H111" s="9"/>
      <c r="I111" s="6" t="s">
        <v>497</v>
      </c>
      <c r="J111" s="6" t="s">
        <v>512</v>
      </c>
    </row>
    <row r="112" customFormat="false" ht="15" hidden="false" customHeight="true" outlineLevel="0" collapsed="false">
      <c r="A112" s="6" t="n">
        <v>6362</v>
      </c>
      <c r="B112" s="15" t="s">
        <v>351</v>
      </c>
      <c r="C112" s="6" t="s">
        <v>494</v>
      </c>
      <c r="D112" s="6" t="s">
        <v>503</v>
      </c>
      <c r="E112" s="6" t="s">
        <v>471</v>
      </c>
      <c r="F112" s="7"/>
      <c r="G112" s="7"/>
      <c r="H112" s="9"/>
      <c r="I112" s="6" t="s">
        <v>497</v>
      </c>
      <c r="J112" s="6" t="s">
        <v>512</v>
      </c>
    </row>
    <row r="113" customFormat="false" ht="15" hidden="false" customHeight="true" outlineLevel="0" collapsed="false">
      <c r="A113" s="6" t="n">
        <v>8365</v>
      </c>
      <c r="B113" s="15" t="s">
        <v>364</v>
      </c>
      <c r="C113" s="6" t="s">
        <v>494</v>
      </c>
      <c r="D113" s="6" t="s">
        <v>495</v>
      </c>
      <c r="E113" s="6" t="s">
        <v>513</v>
      </c>
      <c r="F113" s="7"/>
      <c r="G113" s="7"/>
      <c r="H113" s="9"/>
      <c r="I113" s="6" t="s">
        <v>497</v>
      </c>
      <c r="J113" s="6" t="s">
        <v>514</v>
      </c>
    </row>
    <row r="114" customFormat="false" ht="15" hidden="false" customHeight="true" outlineLevel="0" collapsed="false">
      <c r="A114" s="6" t="n">
        <v>8365</v>
      </c>
      <c r="B114" s="15" t="s">
        <v>364</v>
      </c>
      <c r="C114" s="6" t="s">
        <v>494</v>
      </c>
      <c r="D114" s="6" t="s">
        <v>495</v>
      </c>
      <c r="E114" s="6" t="s">
        <v>415</v>
      </c>
      <c r="F114" s="7"/>
      <c r="G114" s="7"/>
      <c r="H114" s="9"/>
      <c r="I114" s="6" t="s">
        <v>497</v>
      </c>
      <c r="J114" s="6" t="s">
        <v>514</v>
      </c>
    </row>
    <row r="115" customFormat="false" ht="15" hidden="false" customHeight="true" outlineLevel="0" collapsed="false">
      <c r="A115" s="6" t="n">
        <v>8365</v>
      </c>
      <c r="B115" s="15" t="s">
        <v>364</v>
      </c>
      <c r="C115" s="6" t="s">
        <v>494</v>
      </c>
      <c r="D115" s="6" t="s">
        <v>495</v>
      </c>
      <c r="E115" s="6" t="s">
        <v>417</v>
      </c>
      <c r="F115" s="7"/>
      <c r="G115" s="7"/>
      <c r="H115" s="9"/>
      <c r="I115" s="6" t="s">
        <v>497</v>
      </c>
      <c r="J115" s="6" t="s">
        <v>514</v>
      </c>
    </row>
    <row r="116" customFormat="false" ht="15" hidden="false" customHeight="true" outlineLevel="0" collapsed="false">
      <c r="A116" s="6" t="n">
        <v>8365</v>
      </c>
      <c r="B116" s="15" t="s">
        <v>364</v>
      </c>
      <c r="C116" s="6" t="s">
        <v>494</v>
      </c>
      <c r="D116" s="6" t="s">
        <v>495</v>
      </c>
      <c r="E116" s="6" t="s">
        <v>462</v>
      </c>
      <c r="F116" s="7"/>
      <c r="G116" s="7"/>
      <c r="H116" s="9"/>
      <c r="I116" s="6" t="s">
        <v>497</v>
      </c>
      <c r="J116" s="6" t="s">
        <v>514</v>
      </c>
    </row>
    <row r="117" customFormat="false" ht="15" hidden="false" customHeight="true" outlineLevel="0" collapsed="false">
      <c r="A117" s="6" t="n">
        <v>8365</v>
      </c>
      <c r="B117" s="15" t="s">
        <v>364</v>
      </c>
      <c r="C117" s="6" t="s">
        <v>494</v>
      </c>
      <c r="D117" s="6" t="s">
        <v>495</v>
      </c>
      <c r="E117" s="6" t="s">
        <v>438</v>
      </c>
      <c r="F117" s="7"/>
      <c r="G117" s="7"/>
      <c r="H117" s="9"/>
      <c r="I117" s="6" t="s">
        <v>497</v>
      </c>
      <c r="J117" s="6" t="s">
        <v>514</v>
      </c>
    </row>
    <row r="118" customFormat="false" ht="15" hidden="false" customHeight="true" outlineLevel="0" collapsed="false">
      <c r="A118" s="6" t="n">
        <v>8365</v>
      </c>
      <c r="B118" s="15" t="s">
        <v>364</v>
      </c>
      <c r="C118" s="6" t="s">
        <v>494</v>
      </c>
      <c r="D118" s="6" t="s">
        <v>495</v>
      </c>
      <c r="E118" s="6" t="s">
        <v>515</v>
      </c>
      <c r="F118" s="7"/>
      <c r="G118" s="7"/>
      <c r="H118" s="9"/>
      <c r="I118" s="6" t="s">
        <v>497</v>
      </c>
      <c r="J118" s="6" t="s">
        <v>514</v>
      </c>
    </row>
    <row r="119" customFormat="false" ht="15" hidden="false" customHeight="true" outlineLevel="0" collapsed="false">
      <c r="A119" s="6" t="n">
        <v>13754</v>
      </c>
      <c r="B119" s="15" t="s">
        <v>280</v>
      </c>
      <c r="C119" s="6" t="s">
        <v>494</v>
      </c>
      <c r="D119" s="6" t="s">
        <v>503</v>
      </c>
      <c r="E119" s="6" t="s">
        <v>516</v>
      </c>
      <c r="F119" s="7"/>
      <c r="G119" s="7"/>
      <c r="H119" s="9" t="n">
        <v>20</v>
      </c>
      <c r="I119" s="6" t="s">
        <v>497</v>
      </c>
      <c r="J119" s="6" t="s">
        <v>517</v>
      </c>
    </row>
    <row r="120" customFormat="false" ht="15" hidden="false" customHeight="true" outlineLevel="0" collapsed="false">
      <c r="A120" s="6" t="n">
        <v>13754</v>
      </c>
      <c r="B120" s="15" t="s">
        <v>280</v>
      </c>
      <c r="C120" s="6" t="s">
        <v>494</v>
      </c>
      <c r="D120" s="6" t="s">
        <v>503</v>
      </c>
      <c r="E120" s="6" t="s">
        <v>470</v>
      </c>
      <c r="F120" s="7"/>
      <c r="G120" s="7"/>
      <c r="H120" s="9" t="n">
        <v>20</v>
      </c>
      <c r="I120" s="6" t="s">
        <v>497</v>
      </c>
      <c r="J120" s="6" t="s">
        <v>517</v>
      </c>
    </row>
    <row r="121" customFormat="false" ht="15" hidden="false" customHeight="true" outlineLevel="0" collapsed="false">
      <c r="A121" s="6" t="n">
        <v>13754</v>
      </c>
      <c r="B121" s="15" t="s">
        <v>280</v>
      </c>
      <c r="C121" s="6" t="s">
        <v>494</v>
      </c>
      <c r="D121" s="6" t="s">
        <v>503</v>
      </c>
      <c r="E121" s="6" t="s">
        <v>438</v>
      </c>
      <c r="F121" s="7"/>
      <c r="G121" s="7"/>
      <c r="H121" s="9" t="n">
        <v>20</v>
      </c>
      <c r="I121" s="6" t="s">
        <v>497</v>
      </c>
      <c r="J121" s="6" t="s">
        <v>517</v>
      </c>
    </row>
    <row r="122" customFormat="false" ht="15" hidden="false" customHeight="true" outlineLevel="0" collapsed="false">
      <c r="A122" s="6" t="n">
        <v>13754</v>
      </c>
      <c r="B122" s="15" t="s">
        <v>280</v>
      </c>
      <c r="C122" s="6" t="s">
        <v>494</v>
      </c>
      <c r="D122" s="6" t="s">
        <v>503</v>
      </c>
      <c r="E122" s="6" t="s">
        <v>419</v>
      </c>
      <c r="F122" s="7"/>
      <c r="G122" s="7"/>
      <c r="H122" s="9" t="n">
        <v>20</v>
      </c>
      <c r="I122" s="6" t="s">
        <v>497</v>
      </c>
      <c r="J122" s="6" t="s">
        <v>517</v>
      </c>
    </row>
    <row r="123" customFormat="false" ht="15" hidden="false" customHeight="true" outlineLevel="0" collapsed="false">
      <c r="A123" s="6" t="n">
        <v>13754</v>
      </c>
      <c r="B123" s="15" t="s">
        <v>280</v>
      </c>
      <c r="C123" s="6" t="s">
        <v>494</v>
      </c>
      <c r="D123" s="6" t="s">
        <v>503</v>
      </c>
      <c r="E123" s="6" t="s">
        <v>486</v>
      </c>
      <c r="F123" s="7"/>
      <c r="G123" s="7"/>
      <c r="H123" s="9" t="n">
        <v>20</v>
      </c>
      <c r="I123" s="6" t="s">
        <v>497</v>
      </c>
      <c r="J123" s="6" t="s">
        <v>517</v>
      </c>
    </row>
    <row r="124" customFormat="false" ht="15" hidden="false" customHeight="true" outlineLevel="0" collapsed="false">
      <c r="A124" s="6" t="n">
        <v>13758</v>
      </c>
      <c r="B124" s="15" t="s">
        <v>374</v>
      </c>
      <c r="C124" s="6" t="s">
        <v>494</v>
      </c>
      <c r="D124" s="6" t="s">
        <v>495</v>
      </c>
      <c r="E124" s="6" t="s">
        <v>516</v>
      </c>
      <c r="F124" s="7"/>
      <c r="G124" s="7"/>
      <c r="H124" s="9" t="n">
        <v>40</v>
      </c>
      <c r="I124" s="6" t="s">
        <v>497</v>
      </c>
      <c r="J124" s="6" t="s">
        <v>518</v>
      </c>
    </row>
    <row r="125" customFormat="false" ht="15" hidden="false" customHeight="true" outlineLevel="0" collapsed="false">
      <c r="A125" s="6" t="n">
        <v>13758</v>
      </c>
      <c r="B125" s="15" t="s">
        <v>374</v>
      </c>
      <c r="C125" s="6" t="s">
        <v>494</v>
      </c>
      <c r="D125" s="6" t="s">
        <v>495</v>
      </c>
      <c r="E125" s="6" t="s">
        <v>519</v>
      </c>
      <c r="F125" s="7"/>
      <c r="G125" s="7"/>
      <c r="H125" s="9" t="n">
        <v>40</v>
      </c>
      <c r="I125" s="6" t="s">
        <v>497</v>
      </c>
      <c r="J125" s="6" t="s">
        <v>518</v>
      </c>
    </row>
    <row r="126" customFormat="false" ht="15" hidden="false" customHeight="true" outlineLevel="0" collapsed="false">
      <c r="A126" s="6" t="n">
        <v>13758</v>
      </c>
      <c r="B126" s="15" t="s">
        <v>374</v>
      </c>
      <c r="C126" s="6" t="s">
        <v>494</v>
      </c>
      <c r="D126" s="6" t="s">
        <v>495</v>
      </c>
      <c r="E126" s="6" t="s">
        <v>470</v>
      </c>
      <c r="F126" s="7"/>
      <c r="G126" s="7"/>
      <c r="H126" s="9" t="n">
        <v>40</v>
      </c>
      <c r="I126" s="6" t="s">
        <v>497</v>
      </c>
      <c r="J126" s="6" t="s">
        <v>518</v>
      </c>
    </row>
    <row r="127" customFormat="false" ht="15" hidden="false" customHeight="true" outlineLevel="0" collapsed="false">
      <c r="A127" s="6" t="n">
        <v>13758</v>
      </c>
      <c r="B127" s="15" t="s">
        <v>374</v>
      </c>
      <c r="C127" s="6" t="s">
        <v>494</v>
      </c>
      <c r="D127" s="6" t="s">
        <v>495</v>
      </c>
      <c r="E127" s="6" t="s">
        <v>486</v>
      </c>
      <c r="F127" s="7"/>
      <c r="G127" s="7"/>
      <c r="H127" s="9" t="n">
        <v>40</v>
      </c>
      <c r="I127" s="6" t="s">
        <v>497</v>
      </c>
      <c r="J127" s="6" t="s">
        <v>518</v>
      </c>
    </row>
    <row r="128" customFormat="false" ht="15" hidden="false" customHeight="true" outlineLevel="0" collapsed="false">
      <c r="A128" s="6" t="n">
        <v>13758</v>
      </c>
      <c r="B128" s="15" t="s">
        <v>374</v>
      </c>
      <c r="C128" s="6" t="s">
        <v>494</v>
      </c>
      <c r="D128" s="6" t="s">
        <v>495</v>
      </c>
      <c r="E128" s="6" t="s">
        <v>465</v>
      </c>
      <c r="F128" s="7"/>
      <c r="G128" s="7"/>
      <c r="H128" s="9" t="n">
        <v>40</v>
      </c>
      <c r="I128" s="6" t="s">
        <v>497</v>
      </c>
      <c r="J128" s="6" t="s">
        <v>518</v>
      </c>
    </row>
    <row r="129" customFormat="false" ht="15" hidden="false" customHeight="true" outlineLevel="0" collapsed="false">
      <c r="A129" s="6" t="n">
        <v>13758</v>
      </c>
      <c r="B129" s="15" t="s">
        <v>374</v>
      </c>
      <c r="C129" s="6" t="s">
        <v>494</v>
      </c>
      <c r="D129" s="6" t="s">
        <v>495</v>
      </c>
      <c r="E129" s="6" t="s">
        <v>520</v>
      </c>
      <c r="F129" s="7"/>
      <c r="G129" s="7"/>
      <c r="H129" s="9" t="n">
        <v>40</v>
      </c>
      <c r="I129" s="6" t="s">
        <v>497</v>
      </c>
      <c r="J129" s="6" t="s">
        <v>518</v>
      </c>
    </row>
    <row r="130" customFormat="false" ht="15" hidden="false" customHeight="true" outlineLevel="0" collapsed="false">
      <c r="A130" s="6" t="n">
        <v>4603</v>
      </c>
      <c r="B130" s="15" t="s">
        <v>375</v>
      </c>
      <c r="C130" s="6" t="s">
        <v>494</v>
      </c>
      <c r="D130" s="6" t="s">
        <v>503</v>
      </c>
      <c r="E130" s="6" t="s">
        <v>516</v>
      </c>
      <c r="F130" s="7"/>
      <c r="G130" s="7"/>
      <c r="H130" s="9" t="n">
        <v>40</v>
      </c>
      <c r="I130" s="6" t="s">
        <v>497</v>
      </c>
      <c r="J130" s="6" t="s">
        <v>521</v>
      </c>
    </row>
    <row r="131" customFormat="false" ht="15" hidden="false" customHeight="true" outlineLevel="0" collapsed="false">
      <c r="A131" s="6" t="n">
        <v>4603</v>
      </c>
      <c r="B131" s="15" t="s">
        <v>375</v>
      </c>
      <c r="C131" s="6" t="s">
        <v>494</v>
      </c>
      <c r="D131" s="6" t="s">
        <v>503</v>
      </c>
      <c r="E131" s="6" t="s">
        <v>470</v>
      </c>
      <c r="F131" s="7"/>
      <c r="G131" s="7"/>
      <c r="H131" s="9" t="n">
        <v>40</v>
      </c>
      <c r="I131" s="6" t="s">
        <v>497</v>
      </c>
      <c r="J131" s="6" t="s">
        <v>521</v>
      </c>
    </row>
    <row r="132" customFormat="false" ht="15" hidden="false" customHeight="true" outlineLevel="0" collapsed="false">
      <c r="A132" s="6" t="n">
        <v>4603</v>
      </c>
      <c r="B132" s="15" t="s">
        <v>375</v>
      </c>
      <c r="C132" s="6" t="s">
        <v>494</v>
      </c>
      <c r="D132" s="6" t="s">
        <v>503</v>
      </c>
      <c r="E132" s="6" t="s">
        <v>438</v>
      </c>
      <c r="F132" s="7"/>
      <c r="G132" s="7"/>
      <c r="H132" s="9" t="n">
        <v>40</v>
      </c>
      <c r="I132" s="6" t="s">
        <v>497</v>
      </c>
      <c r="J132" s="6" t="s">
        <v>521</v>
      </c>
    </row>
    <row r="133" customFormat="false" ht="15" hidden="false" customHeight="true" outlineLevel="0" collapsed="false">
      <c r="A133" s="6" t="n">
        <v>4603</v>
      </c>
      <c r="B133" s="15" t="s">
        <v>375</v>
      </c>
      <c r="C133" s="6" t="s">
        <v>494</v>
      </c>
      <c r="D133" s="6" t="s">
        <v>503</v>
      </c>
      <c r="E133" s="6" t="s">
        <v>419</v>
      </c>
      <c r="F133" s="7"/>
      <c r="G133" s="7"/>
      <c r="H133" s="9" t="n">
        <v>40</v>
      </c>
      <c r="I133" s="6" t="s">
        <v>497</v>
      </c>
      <c r="J133" s="6" t="s">
        <v>521</v>
      </c>
    </row>
    <row r="134" customFormat="false" ht="15" hidden="false" customHeight="true" outlineLevel="0" collapsed="false">
      <c r="A134" s="6" t="n">
        <v>4603</v>
      </c>
      <c r="B134" s="15" t="s">
        <v>375</v>
      </c>
      <c r="C134" s="6" t="s">
        <v>494</v>
      </c>
      <c r="D134" s="6" t="s">
        <v>503</v>
      </c>
      <c r="E134" s="6" t="s">
        <v>486</v>
      </c>
      <c r="F134" s="7"/>
      <c r="G134" s="7"/>
      <c r="H134" s="9" t="n">
        <v>40</v>
      </c>
      <c r="I134" s="6" t="s">
        <v>497</v>
      </c>
      <c r="J134" s="6" t="s">
        <v>521</v>
      </c>
    </row>
    <row r="135" customFormat="false" ht="15" hidden="false" customHeight="true" outlineLevel="0" collapsed="false">
      <c r="A135" s="6" t="n">
        <v>21071</v>
      </c>
      <c r="B135" s="15" t="s">
        <v>330</v>
      </c>
      <c r="C135" s="6" t="s">
        <v>494</v>
      </c>
      <c r="D135" s="6" t="s">
        <v>522</v>
      </c>
      <c r="E135" s="6" t="s">
        <v>406</v>
      </c>
      <c r="F135" s="7"/>
      <c r="G135" s="7"/>
      <c r="H135" s="9"/>
      <c r="I135" s="6" t="s">
        <v>497</v>
      </c>
      <c r="J135" s="6" t="s">
        <v>523</v>
      </c>
    </row>
    <row r="136" customFormat="false" ht="15" hidden="false" customHeight="true" outlineLevel="0" collapsed="false">
      <c r="A136" s="6" t="n">
        <v>21071</v>
      </c>
      <c r="B136" s="15" t="s">
        <v>330</v>
      </c>
      <c r="C136" s="6" t="s">
        <v>494</v>
      </c>
      <c r="D136" s="6" t="s">
        <v>522</v>
      </c>
      <c r="E136" s="6" t="s">
        <v>407</v>
      </c>
      <c r="F136" s="7"/>
      <c r="G136" s="7"/>
      <c r="H136" s="9"/>
      <c r="I136" s="6" t="s">
        <v>497</v>
      </c>
      <c r="J136" s="6" t="s">
        <v>523</v>
      </c>
    </row>
    <row r="137" customFormat="false" ht="15" hidden="false" customHeight="true" outlineLevel="0" collapsed="false">
      <c r="A137" s="6" t="n">
        <v>21071</v>
      </c>
      <c r="B137" s="15" t="s">
        <v>330</v>
      </c>
      <c r="C137" s="6" t="s">
        <v>494</v>
      </c>
      <c r="D137" s="6" t="s">
        <v>522</v>
      </c>
      <c r="E137" s="6" t="s">
        <v>409</v>
      </c>
      <c r="F137" s="7"/>
      <c r="G137" s="7"/>
      <c r="H137" s="9"/>
      <c r="I137" s="6" t="s">
        <v>497</v>
      </c>
      <c r="J137" s="6" t="s">
        <v>523</v>
      </c>
    </row>
    <row r="138" customFormat="false" ht="15" hidden="false" customHeight="true" outlineLevel="0" collapsed="false">
      <c r="A138" s="6" t="n">
        <v>21071</v>
      </c>
      <c r="B138" s="15" t="s">
        <v>330</v>
      </c>
      <c r="C138" s="6" t="s">
        <v>494</v>
      </c>
      <c r="D138" s="6" t="s">
        <v>522</v>
      </c>
      <c r="E138" s="6" t="s">
        <v>410</v>
      </c>
      <c r="F138" s="7"/>
      <c r="G138" s="7"/>
      <c r="H138" s="9"/>
      <c r="I138" s="6" t="s">
        <v>497</v>
      </c>
      <c r="J138" s="6" t="s">
        <v>523</v>
      </c>
    </row>
    <row r="139" customFormat="false" ht="15" hidden="false" customHeight="true" outlineLevel="0" collapsed="false">
      <c r="A139" s="6" t="n">
        <v>21071</v>
      </c>
      <c r="B139" s="15" t="s">
        <v>330</v>
      </c>
      <c r="C139" s="6" t="s">
        <v>494</v>
      </c>
      <c r="D139" s="6" t="s">
        <v>522</v>
      </c>
      <c r="E139" s="6" t="s">
        <v>477</v>
      </c>
      <c r="F139" s="7"/>
      <c r="G139" s="7"/>
      <c r="H139" s="9"/>
      <c r="I139" s="6" t="s">
        <v>497</v>
      </c>
      <c r="J139" s="6" t="s">
        <v>523</v>
      </c>
    </row>
    <row r="140" customFormat="false" ht="15" hidden="false" customHeight="true" outlineLevel="0" collapsed="false">
      <c r="A140" s="6" t="n">
        <v>21153</v>
      </c>
      <c r="B140" s="15" t="s">
        <v>362</v>
      </c>
      <c r="C140" s="6" t="s">
        <v>494</v>
      </c>
      <c r="D140" s="6" t="s">
        <v>524</v>
      </c>
      <c r="E140" s="6" t="s">
        <v>513</v>
      </c>
      <c r="F140" s="7"/>
      <c r="G140" s="7"/>
      <c r="H140" s="9"/>
      <c r="I140" s="6" t="s">
        <v>497</v>
      </c>
      <c r="J140" s="6" t="s">
        <v>514</v>
      </c>
    </row>
    <row r="141" customFormat="false" ht="15" hidden="false" customHeight="true" outlineLevel="0" collapsed="false">
      <c r="A141" s="6" t="n">
        <v>21153</v>
      </c>
      <c r="B141" s="15" t="s">
        <v>362</v>
      </c>
      <c r="C141" s="6" t="s">
        <v>494</v>
      </c>
      <c r="D141" s="6" t="s">
        <v>524</v>
      </c>
      <c r="E141" s="6" t="s">
        <v>438</v>
      </c>
      <c r="F141" s="7"/>
      <c r="G141" s="7"/>
      <c r="H141" s="9"/>
      <c r="I141" s="6" t="s">
        <v>497</v>
      </c>
      <c r="J141" s="6" t="s">
        <v>514</v>
      </c>
    </row>
    <row r="142" customFormat="false" ht="15" hidden="false" customHeight="true" outlineLevel="0" collapsed="false">
      <c r="A142" s="6" t="n">
        <v>17194</v>
      </c>
      <c r="B142" s="15" t="s">
        <v>301</v>
      </c>
      <c r="C142" s="6" t="s">
        <v>525</v>
      </c>
      <c r="D142" s="6" t="s">
        <v>526</v>
      </c>
      <c r="E142" s="6"/>
      <c r="F142" s="7"/>
      <c r="G142" s="7"/>
      <c r="H142" s="9"/>
      <c r="I142" s="6" t="s">
        <v>527</v>
      </c>
      <c r="J142" s="6" t="s">
        <v>528</v>
      </c>
    </row>
    <row r="143" customFormat="false" ht="15" hidden="false" customHeight="true" outlineLevel="0" collapsed="false">
      <c r="A143" s="6" t="n">
        <v>11291</v>
      </c>
      <c r="B143" s="15" t="s">
        <v>322</v>
      </c>
      <c r="C143" s="6" t="s">
        <v>529</v>
      </c>
      <c r="D143" s="6" t="s">
        <v>530</v>
      </c>
      <c r="E143" s="6" t="s">
        <v>531</v>
      </c>
      <c r="F143" s="15"/>
      <c r="G143" s="15"/>
      <c r="H143" s="15"/>
      <c r="I143" s="6" t="s">
        <v>532</v>
      </c>
      <c r="J143" s="6" t="s">
        <v>533</v>
      </c>
    </row>
    <row r="144" customFormat="false" ht="15" hidden="false" customHeight="true" outlineLevel="0" collapsed="false">
      <c r="A144" s="6" t="n">
        <v>4470</v>
      </c>
      <c r="B144" s="15" t="s">
        <v>292</v>
      </c>
      <c r="C144" s="6" t="s">
        <v>529</v>
      </c>
      <c r="D144" s="6" t="s">
        <v>534</v>
      </c>
      <c r="E144" s="6" t="s">
        <v>456</v>
      </c>
      <c r="F144" s="15"/>
      <c r="G144" s="15"/>
      <c r="H144" s="15"/>
      <c r="I144" s="6" t="s">
        <v>532</v>
      </c>
      <c r="J144" s="6" t="s">
        <v>535</v>
      </c>
    </row>
    <row r="145" customFormat="false" ht="15" hidden="false" customHeight="true" outlineLevel="0" collapsed="false">
      <c r="A145" s="6" t="n">
        <v>4470</v>
      </c>
      <c r="B145" s="15" t="s">
        <v>292</v>
      </c>
      <c r="C145" s="6" t="s">
        <v>529</v>
      </c>
      <c r="D145" s="6" t="s">
        <v>530</v>
      </c>
      <c r="E145" s="6" t="s">
        <v>531</v>
      </c>
      <c r="F145" s="15"/>
      <c r="G145" s="15"/>
      <c r="H145" s="15"/>
      <c r="I145" s="6" t="s">
        <v>532</v>
      </c>
      <c r="J145" s="6" t="s">
        <v>533</v>
      </c>
    </row>
    <row r="146" customFormat="false" ht="15" hidden="false" customHeight="true" outlineLevel="0" collapsed="false">
      <c r="A146" s="6" t="n">
        <v>159</v>
      </c>
      <c r="B146" s="15" t="s">
        <v>293</v>
      </c>
      <c r="C146" s="6" t="s">
        <v>529</v>
      </c>
      <c r="D146" s="6" t="s">
        <v>536</v>
      </c>
      <c r="E146" s="6" t="s">
        <v>456</v>
      </c>
      <c r="F146" s="15"/>
      <c r="G146" s="15"/>
      <c r="H146" s="15"/>
      <c r="I146" s="6" t="s">
        <v>532</v>
      </c>
      <c r="J146" s="6" t="s">
        <v>533</v>
      </c>
    </row>
    <row r="147" customFormat="false" ht="15" hidden="false" customHeight="true" outlineLevel="0" collapsed="false">
      <c r="A147" s="6" t="n">
        <v>159</v>
      </c>
      <c r="B147" s="15" t="s">
        <v>293</v>
      </c>
      <c r="C147" s="6" t="s">
        <v>529</v>
      </c>
      <c r="D147" s="6" t="s">
        <v>537</v>
      </c>
      <c r="E147" s="6" t="s">
        <v>531</v>
      </c>
      <c r="F147" s="15"/>
      <c r="G147" s="15"/>
      <c r="H147" s="15"/>
      <c r="I147" s="6" t="s">
        <v>532</v>
      </c>
      <c r="J147" s="6" t="s">
        <v>533</v>
      </c>
    </row>
    <row r="148" customFormat="false" ht="15" hidden="false" customHeight="true" outlineLevel="0" collapsed="false">
      <c r="A148" s="6" t="n">
        <v>3713</v>
      </c>
      <c r="B148" s="15" t="s">
        <v>277</v>
      </c>
      <c r="C148" s="6" t="s">
        <v>529</v>
      </c>
      <c r="D148" s="6" t="s">
        <v>538</v>
      </c>
      <c r="E148" s="6" t="s">
        <v>531</v>
      </c>
      <c r="F148" s="15"/>
      <c r="G148" s="15"/>
      <c r="H148" s="15"/>
      <c r="I148" s="6" t="s">
        <v>532</v>
      </c>
      <c r="J148" s="6" t="s">
        <v>533</v>
      </c>
    </row>
    <row r="149" customFormat="false" ht="15" hidden="false" customHeight="true" outlineLevel="0" collapsed="false">
      <c r="A149" s="6" t="n">
        <v>2678</v>
      </c>
      <c r="B149" s="15" t="s">
        <v>271</v>
      </c>
      <c r="C149" s="6" t="s">
        <v>529</v>
      </c>
      <c r="D149" s="6" t="s">
        <v>539</v>
      </c>
      <c r="E149" s="6" t="s">
        <v>456</v>
      </c>
      <c r="F149" s="15"/>
      <c r="G149" s="15"/>
      <c r="H149" s="15"/>
      <c r="I149" s="6" t="s">
        <v>532</v>
      </c>
      <c r="J149" s="6" t="s">
        <v>535</v>
      </c>
    </row>
    <row r="150" customFormat="false" ht="15" hidden="false" customHeight="true" outlineLevel="0" collapsed="false">
      <c r="A150" s="6" t="n">
        <v>2678</v>
      </c>
      <c r="B150" s="15" t="s">
        <v>271</v>
      </c>
      <c r="C150" s="6" t="s">
        <v>529</v>
      </c>
      <c r="D150" s="6" t="s">
        <v>538</v>
      </c>
      <c r="E150" s="6" t="s">
        <v>531</v>
      </c>
      <c r="F150" s="15"/>
      <c r="G150" s="15"/>
      <c r="H150" s="15"/>
      <c r="I150" s="6" t="s">
        <v>532</v>
      </c>
      <c r="J150" s="6" t="s">
        <v>533</v>
      </c>
    </row>
    <row r="151" customFormat="false" ht="15" hidden="false" customHeight="true" outlineLevel="0" collapsed="false">
      <c r="A151" s="6" t="n">
        <v>2692</v>
      </c>
      <c r="B151" s="15" t="s">
        <v>275</v>
      </c>
      <c r="C151" s="6" t="s">
        <v>529</v>
      </c>
      <c r="D151" s="6" t="s">
        <v>538</v>
      </c>
      <c r="E151" s="6" t="s">
        <v>531</v>
      </c>
      <c r="F151" s="15"/>
      <c r="G151" s="15"/>
      <c r="H151" s="15"/>
      <c r="I151" s="6" t="s">
        <v>532</v>
      </c>
      <c r="J151" s="6" t="s">
        <v>533</v>
      </c>
    </row>
    <row r="152" customFormat="false" ht="15" hidden="false" customHeight="true" outlineLevel="0" collapsed="false">
      <c r="A152" s="6" t="n">
        <v>1645</v>
      </c>
      <c r="B152" s="15" t="s">
        <v>365</v>
      </c>
      <c r="C152" s="6" t="s">
        <v>529</v>
      </c>
      <c r="D152" s="6" t="s">
        <v>537</v>
      </c>
      <c r="E152" s="6" t="s">
        <v>531</v>
      </c>
      <c r="F152" s="15"/>
      <c r="G152" s="15"/>
      <c r="H152" s="15"/>
      <c r="I152" s="6" t="s">
        <v>532</v>
      </c>
      <c r="J152" s="6" t="s">
        <v>533</v>
      </c>
    </row>
    <row r="153" customFormat="false" ht="15" hidden="false" customHeight="true" outlineLevel="0" collapsed="false">
      <c r="A153" s="6" t="n">
        <v>1205</v>
      </c>
      <c r="B153" s="15" t="s">
        <v>338</v>
      </c>
      <c r="C153" s="6" t="s">
        <v>529</v>
      </c>
      <c r="D153" s="6" t="s">
        <v>537</v>
      </c>
      <c r="E153" s="6" t="s">
        <v>531</v>
      </c>
      <c r="F153" s="15"/>
      <c r="G153" s="15"/>
      <c r="H153" s="15"/>
      <c r="I153" s="6" t="s">
        <v>532</v>
      </c>
      <c r="J153" s="6" t="s">
        <v>533</v>
      </c>
    </row>
    <row r="154" customFormat="false" ht="15" hidden="false" customHeight="true" outlineLevel="0" collapsed="false">
      <c r="A154" s="6" t="n">
        <v>1179</v>
      </c>
      <c r="B154" s="15" t="s">
        <v>308</v>
      </c>
      <c r="C154" s="6" t="s">
        <v>529</v>
      </c>
      <c r="D154" s="6" t="s">
        <v>537</v>
      </c>
      <c r="E154" s="6" t="s">
        <v>531</v>
      </c>
      <c r="F154" s="15"/>
      <c r="G154" s="15"/>
      <c r="H154" s="15"/>
      <c r="I154" s="6" t="s">
        <v>532</v>
      </c>
      <c r="J154" s="6" t="s">
        <v>533</v>
      </c>
    </row>
    <row r="155" customFormat="false" ht="15" hidden="false" customHeight="true" outlineLevel="0" collapsed="false">
      <c r="A155" s="6" t="n">
        <v>1708</v>
      </c>
      <c r="B155" s="15" t="s">
        <v>349</v>
      </c>
      <c r="C155" s="6" t="s">
        <v>529</v>
      </c>
      <c r="D155" s="6" t="s">
        <v>537</v>
      </c>
      <c r="E155" s="6" t="s">
        <v>531</v>
      </c>
      <c r="F155" s="15"/>
      <c r="G155" s="15"/>
      <c r="H155" s="15"/>
      <c r="I155" s="6" t="s">
        <v>532</v>
      </c>
      <c r="J155" s="6" t="s">
        <v>533</v>
      </c>
    </row>
    <row r="156" customFormat="false" ht="15" hidden="false" customHeight="true" outlineLevel="0" collapsed="false">
      <c r="A156" s="6" t="n">
        <v>4536</v>
      </c>
      <c r="B156" s="15" t="s">
        <v>316</v>
      </c>
      <c r="C156" s="6" t="s">
        <v>529</v>
      </c>
      <c r="D156" s="6" t="s">
        <v>539</v>
      </c>
      <c r="E156" s="6" t="s">
        <v>456</v>
      </c>
      <c r="F156" s="15"/>
      <c r="G156" s="15"/>
      <c r="H156" s="15"/>
      <c r="I156" s="6" t="s">
        <v>532</v>
      </c>
      <c r="J156" s="6" t="s">
        <v>535</v>
      </c>
    </row>
    <row r="157" customFormat="false" ht="15" hidden="false" customHeight="true" outlineLevel="0" collapsed="false">
      <c r="A157" s="6" t="n">
        <v>4536</v>
      </c>
      <c r="B157" s="15" t="s">
        <v>316</v>
      </c>
      <c r="C157" s="6" t="s">
        <v>529</v>
      </c>
      <c r="D157" s="6" t="s">
        <v>538</v>
      </c>
      <c r="E157" s="6" t="s">
        <v>531</v>
      </c>
      <c r="F157" s="15"/>
      <c r="G157" s="15"/>
      <c r="H157" s="15"/>
      <c r="I157" s="6" t="s">
        <v>532</v>
      </c>
      <c r="J157" s="6" t="s">
        <v>533</v>
      </c>
    </row>
    <row r="158" customFormat="false" ht="15" hidden="false" customHeight="true" outlineLevel="0" collapsed="false">
      <c r="A158" s="6" t="n">
        <v>8766</v>
      </c>
      <c r="B158" s="15" t="s">
        <v>369</v>
      </c>
      <c r="C158" s="6" t="s">
        <v>529</v>
      </c>
      <c r="D158" s="6" t="s">
        <v>537</v>
      </c>
      <c r="E158" s="6" t="s">
        <v>531</v>
      </c>
      <c r="F158" s="15"/>
      <c r="G158" s="15"/>
      <c r="H158" s="15"/>
      <c r="I158" s="6" t="s">
        <v>532</v>
      </c>
      <c r="J158" s="6" t="s">
        <v>533</v>
      </c>
    </row>
    <row r="159" customFormat="false" ht="15" hidden="false" customHeight="true" outlineLevel="0" collapsed="false">
      <c r="A159" s="21"/>
      <c r="B159" s="21"/>
      <c r="C159" s="21"/>
      <c r="D159" s="21"/>
      <c r="E159" s="21"/>
      <c r="F159" s="21"/>
      <c r="G159" s="21"/>
      <c r="H159" s="21"/>
      <c r="I159" s="21"/>
      <c r="J159" s="21"/>
    </row>
    <row r="160" customFormat="false" ht="15" hidden="false" customHeight="true" outlineLevel="0" collapsed="false">
      <c r="A160" s="21"/>
      <c r="B160" s="21"/>
      <c r="C160" s="21"/>
      <c r="D160" s="21"/>
      <c r="E160" s="21"/>
      <c r="F160" s="21"/>
      <c r="G160" s="21"/>
      <c r="H160" s="21"/>
      <c r="I160" s="21"/>
      <c r="J160" s="21"/>
    </row>
    <row r="161" customFormat="false" ht="15" hidden="false" customHeight="true" outlineLevel="0" collapsed="false">
      <c r="A161" s="21"/>
      <c r="B161" s="21"/>
      <c r="C161" s="21"/>
      <c r="D161" s="21"/>
      <c r="E161" s="21"/>
      <c r="F161" s="21"/>
      <c r="G161" s="21"/>
      <c r="H161" s="21"/>
      <c r="I161" s="21"/>
      <c r="J161" s="21"/>
    </row>
    <row r="162" customFormat="false" ht="15" hidden="false" customHeight="true" outlineLevel="0" collapsed="false">
      <c r="A162" s="21"/>
      <c r="B162" s="21"/>
      <c r="C162" s="21"/>
      <c r="D162" s="21"/>
      <c r="E162" s="21"/>
      <c r="F162" s="21"/>
      <c r="G162" s="21"/>
      <c r="H162" s="21"/>
      <c r="I162" s="21"/>
      <c r="J162" s="21"/>
    </row>
    <row r="163" customFormat="false" ht="15" hidden="false" customHeight="true" outlineLevel="0" collapsed="false">
      <c r="A163" s="21"/>
      <c r="B163" s="21"/>
      <c r="C163" s="21"/>
      <c r="D163" s="21"/>
      <c r="E163" s="21"/>
      <c r="F163" s="21"/>
      <c r="G163" s="21"/>
      <c r="H163" s="21"/>
      <c r="I163" s="21"/>
      <c r="J163" s="21"/>
    </row>
    <row r="164" customFormat="false" ht="15" hidden="false" customHeight="true" outlineLevel="0" collapsed="false">
      <c r="A164" s="21"/>
      <c r="B164" s="21"/>
      <c r="C164" s="21"/>
      <c r="D164" s="21"/>
      <c r="E164" s="21"/>
      <c r="F164" s="21"/>
      <c r="G164" s="21"/>
      <c r="H164" s="21"/>
      <c r="I164" s="21"/>
      <c r="J164" s="21"/>
    </row>
    <row r="165" customFormat="false" ht="15" hidden="false" customHeight="true" outlineLevel="0" collapsed="false">
      <c r="A165" s="21"/>
      <c r="B165" s="21"/>
      <c r="C165" s="21"/>
      <c r="D165" s="21"/>
      <c r="E165" s="21"/>
      <c r="F165" s="21"/>
      <c r="G165" s="21"/>
      <c r="H165" s="21"/>
      <c r="I165" s="21"/>
      <c r="J165" s="21"/>
    </row>
    <row r="166" customFormat="false" ht="15" hidden="false" customHeight="true" outlineLevel="0" collapsed="false">
      <c r="A166" s="21"/>
      <c r="B166" s="21"/>
      <c r="C166" s="21"/>
      <c r="D166" s="21"/>
      <c r="E166" s="21"/>
      <c r="F166" s="21"/>
      <c r="G166" s="21"/>
      <c r="H166" s="21"/>
      <c r="I166" s="21"/>
      <c r="J166" s="21"/>
    </row>
    <row r="167" customFormat="false" ht="15" hidden="false" customHeight="true" outlineLevel="0" collapsed="false">
      <c r="A167" s="21"/>
      <c r="B167" s="21"/>
      <c r="C167" s="21"/>
      <c r="D167" s="21"/>
      <c r="E167" s="21"/>
      <c r="F167" s="21"/>
      <c r="G167" s="21"/>
      <c r="H167" s="21"/>
      <c r="I167" s="21"/>
      <c r="J167" s="21"/>
    </row>
    <row r="168" customFormat="false" ht="15" hidden="false" customHeight="true" outlineLevel="0" collapsed="false">
      <c r="A168" s="21"/>
      <c r="B168" s="21"/>
      <c r="C168" s="21"/>
      <c r="D168" s="21"/>
      <c r="E168" s="21"/>
      <c r="F168" s="21"/>
      <c r="G168" s="21"/>
      <c r="H168" s="21"/>
      <c r="I168" s="21"/>
      <c r="J168" s="21"/>
    </row>
    <row r="169" customFormat="false" ht="15" hidden="false" customHeight="true" outlineLevel="0" collapsed="false">
      <c r="A169" s="21"/>
      <c r="B169" s="21"/>
      <c r="C169" s="21"/>
      <c r="D169" s="21"/>
      <c r="E169" s="21"/>
      <c r="F169" s="21"/>
      <c r="G169" s="21"/>
      <c r="H169" s="21"/>
      <c r="I169" s="21"/>
      <c r="J169" s="21"/>
    </row>
    <row r="170" customFormat="false" ht="15" hidden="false" customHeight="true" outlineLevel="0" collapsed="false">
      <c r="A170" s="21"/>
      <c r="B170" s="21"/>
      <c r="C170" s="21"/>
      <c r="D170" s="21"/>
      <c r="E170" s="21"/>
      <c r="F170" s="21"/>
      <c r="G170" s="21"/>
      <c r="H170" s="21"/>
      <c r="I170" s="21"/>
      <c r="J170" s="21"/>
    </row>
    <row r="171" customFormat="false" ht="15" hidden="false" customHeight="true" outlineLevel="0" collapsed="false">
      <c r="A171" s="21"/>
      <c r="B171" s="21"/>
      <c r="C171" s="21"/>
      <c r="D171" s="21"/>
      <c r="E171" s="21"/>
      <c r="F171" s="21"/>
      <c r="G171" s="21"/>
      <c r="H171" s="21"/>
      <c r="I171" s="21"/>
      <c r="J171" s="21"/>
    </row>
    <row r="172" customFormat="false" ht="15" hidden="false" customHeight="true" outlineLevel="0" collapsed="false">
      <c r="A172" s="21"/>
      <c r="B172" s="21"/>
      <c r="C172" s="21"/>
      <c r="D172" s="21"/>
      <c r="E172" s="21"/>
      <c r="F172" s="21"/>
      <c r="G172" s="21"/>
      <c r="H172" s="21"/>
      <c r="I172" s="21"/>
      <c r="J172" s="21"/>
    </row>
    <row r="173" customFormat="false" ht="15" hidden="false" customHeight="true" outlineLevel="0" collapsed="false">
      <c r="A173" s="21"/>
      <c r="B173" s="21"/>
      <c r="C173" s="21"/>
      <c r="D173" s="21"/>
      <c r="E173" s="21"/>
      <c r="F173" s="21"/>
      <c r="G173" s="21"/>
      <c r="H173" s="21"/>
      <c r="I173" s="21"/>
      <c r="J173" s="21"/>
    </row>
    <row r="174" customFormat="false" ht="15" hidden="false" customHeight="true" outlineLevel="0" collapsed="false">
      <c r="A174" s="21"/>
      <c r="B174" s="21"/>
      <c r="C174" s="21"/>
      <c r="D174" s="21"/>
      <c r="E174" s="21"/>
      <c r="F174" s="21"/>
      <c r="G174" s="21"/>
      <c r="H174" s="21"/>
      <c r="I174" s="21"/>
      <c r="J174" s="21"/>
    </row>
    <row r="175" customFormat="false" ht="15" hidden="false" customHeight="true" outlineLevel="0" collapsed="false">
      <c r="A175" s="21"/>
      <c r="B175" s="21"/>
      <c r="C175" s="21"/>
      <c r="D175" s="21"/>
      <c r="E175" s="21"/>
      <c r="F175" s="21"/>
      <c r="G175" s="21"/>
      <c r="H175" s="21"/>
      <c r="I175" s="21"/>
      <c r="J175" s="21"/>
    </row>
    <row r="176" customFormat="false" ht="15" hidden="false" customHeight="true" outlineLevel="0" collapsed="false">
      <c r="A176" s="21"/>
      <c r="B176" s="21"/>
      <c r="C176" s="21"/>
      <c r="D176" s="21"/>
      <c r="E176" s="21"/>
      <c r="F176" s="21"/>
      <c r="G176" s="21"/>
      <c r="H176" s="21"/>
      <c r="I176" s="21"/>
      <c r="J176" s="21"/>
    </row>
    <row r="177" customFormat="false" ht="15" hidden="false" customHeight="true" outlineLevel="0" collapsed="false">
      <c r="A177" s="21"/>
      <c r="B177" s="21"/>
      <c r="C177" s="21"/>
      <c r="D177" s="21"/>
      <c r="E177" s="21"/>
      <c r="F177" s="21"/>
      <c r="G177" s="21"/>
      <c r="H177" s="21"/>
      <c r="I177" s="21"/>
      <c r="J177" s="21"/>
    </row>
    <row r="178" customFormat="false" ht="15" hidden="false" customHeight="true" outlineLevel="0" collapsed="false">
      <c r="A178" s="21"/>
      <c r="B178" s="21"/>
      <c r="C178" s="21"/>
      <c r="D178" s="21"/>
      <c r="E178" s="21"/>
      <c r="F178" s="21"/>
      <c r="G178" s="21"/>
      <c r="H178" s="21"/>
      <c r="I178" s="21"/>
      <c r="J178" s="21"/>
    </row>
    <row r="179" customFormat="false" ht="15" hidden="false" customHeight="true" outlineLevel="0" collapsed="false">
      <c r="A179" s="21"/>
      <c r="B179" s="21"/>
      <c r="C179" s="21"/>
      <c r="D179" s="21"/>
      <c r="E179" s="21"/>
      <c r="F179" s="21"/>
      <c r="G179" s="21"/>
      <c r="H179" s="21"/>
      <c r="I179" s="21"/>
      <c r="J179" s="21"/>
    </row>
    <row r="180" customFormat="false" ht="15" hidden="false" customHeight="true" outlineLevel="0" collapsed="false">
      <c r="A180" s="21"/>
      <c r="B180" s="21"/>
      <c r="C180" s="21"/>
      <c r="D180" s="21"/>
      <c r="E180" s="21"/>
      <c r="F180" s="21"/>
      <c r="G180" s="21"/>
      <c r="H180" s="21"/>
      <c r="I180" s="21"/>
      <c r="J180" s="21"/>
    </row>
    <row r="181" customFormat="false" ht="15" hidden="false" customHeight="true" outlineLevel="0" collapsed="false">
      <c r="A181" s="21"/>
      <c r="B181" s="21"/>
      <c r="C181" s="21"/>
      <c r="D181" s="21"/>
      <c r="E181" s="21"/>
      <c r="F181" s="21"/>
      <c r="G181" s="21"/>
      <c r="H181" s="21"/>
      <c r="I181" s="21"/>
      <c r="J181" s="21"/>
    </row>
    <row r="182" customFormat="false" ht="15" hidden="false" customHeight="true" outlineLevel="0" collapsed="false">
      <c r="A182" s="21"/>
      <c r="B182" s="21"/>
      <c r="C182" s="21"/>
      <c r="D182" s="21"/>
      <c r="E182" s="21"/>
      <c r="F182" s="21"/>
      <c r="G182" s="21"/>
      <c r="H182" s="21"/>
      <c r="I182" s="21"/>
      <c r="J182" s="21"/>
    </row>
    <row r="183" customFormat="false" ht="15" hidden="false" customHeight="true" outlineLevel="0" collapsed="false">
      <c r="A183" s="21"/>
      <c r="B183" s="21"/>
      <c r="C183" s="21"/>
      <c r="D183" s="21"/>
      <c r="E183" s="21"/>
      <c r="F183" s="21"/>
      <c r="G183" s="21"/>
      <c r="H183" s="21"/>
      <c r="I183" s="21"/>
      <c r="J183" s="21"/>
    </row>
    <row r="185" customFormat="false" ht="15" hidden="false" customHeight="true" outlineLevel="0" collapsed="false">
      <c r="A185" s="22" t="s">
        <v>540</v>
      </c>
    </row>
    <row r="186" customFormat="false" ht="15" hidden="false" customHeight="false" outlineLevel="0" collapsed="false">
      <c r="A186" s="22" t="n">
        <v>20424</v>
      </c>
      <c r="B186" s="1" t="s">
        <v>385</v>
      </c>
      <c r="C186" s="1" t="s">
        <v>401</v>
      </c>
      <c r="D186" s="1" t="s">
        <v>541</v>
      </c>
      <c r="E186" s="1" t="s">
        <v>542</v>
      </c>
      <c r="F186" s="1" t="n">
        <v>55</v>
      </c>
      <c r="G186" s="1" t="n">
        <v>58</v>
      </c>
      <c r="H186" s="1" t="n">
        <v>27.8</v>
      </c>
      <c r="I186" s="1" t="s">
        <v>543</v>
      </c>
      <c r="J186" s="1" t="s">
        <v>544</v>
      </c>
    </row>
    <row r="187" customFormat="false" ht="15" hidden="false" customHeight="false" outlineLevel="0" collapsed="false">
      <c r="A187" s="22" t="n">
        <v>8150</v>
      </c>
      <c r="B187" s="1" t="s">
        <v>387</v>
      </c>
      <c r="C187" s="1" t="s">
        <v>401</v>
      </c>
      <c r="D187" s="1" t="s">
        <v>545</v>
      </c>
      <c r="E187" s="1" t="s">
        <v>470</v>
      </c>
      <c r="F187" s="1" t="n">
        <v>48</v>
      </c>
      <c r="G187" s="1" t="n">
        <v>50</v>
      </c>
      <c r="H187" s="1" t="n">
        <v>21</v>
      </c>
      <c r="I187" s="1" t="s">
        <v>543</v>
      </c>
      <c r="J187" s="1" t="s">
        <v>544</v>
      </c>
    </row>
    <row r="188" customFormat="false" ht="15" hidden="false" customHeight="false" outlineLevel="0" collapsed="false">
      <c r="A188" s="22" t="n">
        <v>8150</v>
      </c>
      <c r="B188" s="1" t="s">
        <v>387</v>
      </c>
      <c r="C188" s="1" t="s">
        <v>401</v>
      </c>
      <c r="D188" s="1" t="s">
        <v>546</v>
      </c>
      <c r="E188" s="1" t="s">
        <v>542</v>
      </c>
      <c r="F188" s="1" t="n">
        <v>56</v>
      </c>
      <c r="G188" s="1" t="n">
        <v>61</v>
      </c>
      <c r="H188" s="1" t="n">
        <v>14</v>
      </c>
      <c r="I188" s="1" t="s">
        <v>543</v>
      </c>
      <c r="J188" s="1" t="s">
        <v>544</v>
      </c>
    </row>
    <row r="189" customFormat="false" ht="15" hidden="false" customHeight="false" outlineLevel="0" collapsed="false">
      <c r="A189" s="22" t="n">
        <v>21024</v>
      </c>
      <c r="B189" s="1" t="s">
        <v>388</v>
      </c>
      <c r="C189" s="1" t="s">
        <v>401</v>
      </c>
      <c r="D189" s="1" t="s">
        <v>547</v>
      </c>
      <c r="E189" s="1" t="s">
        <v>470</v>
      </c>
      <c r="F189" s="1" t="n">
        <v>60</v>
      </c>
      <c r="G189" s="1" t="n">
        <v>62</v>
      </c>
      <c r="H189" s="1" t="n">
        <v>21.8</v>
      </c>
      <c r="I189" s="1" t="s">
        <v>543</v>
      </c>
      <c r="J189" s="1" t="s">
        <v>544</v>
      </c>
    </row>
  </sheetData>
  <autoFilter ref="A1:J158"/>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7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10"/>
    <col collapsed="false" customWidth="true" hidden="false" outlineLevel="0" max="2" min="2" style="1" width="24"/>
    <col collapsed="false" customWidth="true" hidden="false" outlineLevel="0" max="3" min="3" style="1" width="26"/>
    <col collapsed="false" customWidth="true" hidden="false" outlineLevel="0" max="6" min="4" style="1" width="9"/>
    <col collapsed="false" customWidth="true" hidden="false" outlineLevel="0" max="7" min="7" style="1" width="14"/>
    <col collapsed="false" customWidth="true" hidden="false" outlineLevel="0" max="8" min="8" style="1" width="34"/>
  </cols>
  <sheetData>
    <row r="1" customFormat="false" ht="31.5" hidden="false" customHeight="true" outlineLevel="0" collapsed="false">
      <c r="A1" s="5" t="s">
        <v>548</v>
      </c>
      <c r="B1" s="5" t="s">
        <v>549</v>
      </c>
      <c r="C1" s="5" t="s">
        <v>550</v>
      </c>
      <c r="D1" s="5" t="s">
        <v>551</v>
      </c>
      <c r="E1" s="5" t="s">
        <v>552</v>
      </c>
      <c r="F1" s="5" t="s">
        <v>553</v>
      </c>
      <c r="G1" s="5" t="s">
        <v>263</v>
      </c>
      <c r="H1" s="5" t="s">
        <v>264</v>
      </c>
    </row>
    <row r="2" customFormat="false" ht="15" hidden="false" customHeight="true" outlineLevel="0" collapsed="false">
      <c r="A2" s="7" t="n">
        <v>2134</v>
      </c>
      <c r="B2" s="6" t="s">
        <v>554</v>
      </c>
      <c r="C2" s="6" t="s">
        <v>555</v>
      </c>
      <c r="D2" s="7" t="n">
        <v>1420</v>
      </c>
      <c r="E2" s="7" t="n">
        <v>61.1</v>
      </c>
      <c r="F2" s="7" t="n">
        <v>52.7</v>
      </c>
      <c r="G2" s="7" t="n">
        <v>159</v>
      </c>
      <c r="H2" s="15" t="str">
        <f aca="false">IFERROR(INDEX(Ingrédients!$B:$B,MATCH(G2,Ingrédients!$A:$A,0)),"—")</f>
        <v>Eau de source</v>
      </c>
    </row>
    <row r="3" customFormat="false" ht="15" hidden="false" customHeight="true" outlineLevel="0" collapsed="false">
      <c r="A3" s="7" t="n">
        <v>2134</v>
      </c>
      <c r="B3" s="6" t="s">
        <v>554</v>
      </c>
      <c r="C3" s="6" t="s">
        <v>555</v>
      </c>
      <c r="D3" s="7" t="n">
        <v>1420</v>
      </c>
      <c r="E3" s="7" t="n">
        <v>61.1</v>
      </c>
      <c r="F3" s="7" t="n">
        <v>52.7</v>
      </c>
      <c r="G3" s="7" t="n">
        <v>4470</v>
      </c>
      <c r="H3" s="15" t="str">
        <f aca="false">IFERROR(INDEX(Ingrédients!$B:$B,MATCH(G3,Ingrédients!$A:$A,0)),"—")</f>
        <v>Bois simple</v>
      </c>
    </row>
    <row r="4" customFormat="false" ht="15" hidden="false" customHeight="true" outlineLevel="0" collapsed="false">
      <c r="A4" s="7" t="n">
        <v>2118</v>
      </c>
      <c r="B4" s="6" t="s">
        <v>556</v>
      </c>
      <c r="C4" s="6" t="s">
        <v>555</v>
      </c>
      <c r="D4" s="7" t="n">
        <v>1420</v>
      </c>
      <c r="E4" s="7" t="n">
        <v>61</v>
      </c>
      <c r="F4" s="7" t="n">
        <v>52.4</v>
      </c>
      <c r="G4" s="7" t="n">
        <v>2678</v>
      </c>
      <c r="H4" s="15" t="str">
        <f aca="false">IFERROR(INDEX(Ingrédients!$B:$B,MATCH(G4,Ingrédients!$A:$A,0)),"—")</f>
        <v>Epices douces</v>
      </c>
    </row>
    <row r="5" customFormat="false" ht="15" hidden="false" customHeight="true" outlineLevel="0" collapsed="false">
      <c r="A5" s="7" t="n">
        <v>2118</v>
      </c>
      <c r="B5" s="6" t="s">
        <v>556</v>
      </c>
      <c r="C5" s="6" t="s">
        <v>555</v>
      </c>
      <c r="D5" s="7" t="n">
        <v>1420</v>
      </c>
      <c r="E5" s="7" t="n">
        <v>61</v>
      </c>
      <c r="F5" s="7" t="n">
        <v>52.4</v>
      </c>
      <c r="G5" s="7" t="n">
        <v>4536</v>
      </c>
      <c r="H5" s="15" t="str">
        <f aca="false">IFERROR(INDEX(Ingrédients!$B:$B,MATCH(G5,Ingrédients!$A:$A,0)),"—")</f>
        <v>Pomme rouge brillante</v>
      </c>
    </row>
    <row r="6" customFormat="false" ht="15" hidden="false" customHeight="true" outlineLevel="0" collapsed="false">
      <c r="A6" s="7" t="n">
        <v>5688</v>
      </c>
      <c r="B6" s="6" t="s">
        <v>557</v>
      </c>
      <c r="C6" s="6" t="s">
        <v>558</v>
      </c>
      <c r="D6" s="7" t="n">
        <v>1420</v>
      </c>
      <c r="E6" s="7" t="n">
        <v>61.7</v>
      </c>
      <c r="F6" s="7" t="n">
        <v>52.1</v>
      </c>
      <c r="G6" s="7" t="n">
        <v>159</v>
      </c>
      <c r="H6" s="15" t="str">
        <f aca="false">IFERROR(INDEX(Ingrédients!$B:$B,MATCH(G6,Ingrédients!$A:$A,0)),"—")</f>
        <v>Eau de source</v>
      </c>
    </row>
    <row r="7" customFormat="false" ht="15" hidden="false" customHeight="true" outlineLevel="0" collapsed="false">
      <c r="A7" s="7" t="n">
        <v>6741</v>
      </c>
      <c r="B7" s="6" t="s">
        <v>559</v>
      </c>
      <c r="C7" s="6" t="s">
        <v>560</v>
      </c>
      <c r="D7" s="7" t="n">
        <v>1458</v>
      </c>
      <c r="E7" s="7" t="n">
        <v>67.6</v>
      </c>
      <c r="F7" s="7" t="n">
        <v>38.1</v>
      </c>
      <c r="G7" s="7" t="n">
        <v>159</v>
      </c>
      <c r="H7" s="15" t="str">
        <f aca="false">IFERROR(INDEX(Ingrédients!$B:$B,MATCH(G7,Ingrédients!$A:$A,0)),"—")</f>
        <v>Eau de source</v>
      </c>
    </row>
    <row r="8" customFormat="false" ht="15" hidden="false" customHeight="true" outlineLevel="0" collapsed="false">
      <c r="A8" s="7" t="n">
        <v>6741</v>
      </c>
      <c r="B8" s="6" t="s">
        <v>559</v>
      </c>
      <c r="C8" s="6" t="s">
        <v>560</v>
      </c>
      <c r="D8" s="7" t="n">
        <v>1458</v>
      </c>
      <c r="E8" s="7" t="n">
        <v>67.6</v>
      </c>
      <c r="F8" s="7" t="n">
        <v>38.1</v>
      </c>
      <c r="G8" s="7" t="n">
        <v>1179</v>
      </c>
      <c r="H8" s="15" t="str">
        <f aca="false">IFERROR(INDEX(Ingrédients!$B:$B,MATCH(G8,Ingrédients!$A:$A,0)),"—")</f>
        <v>Lait glacé</v>
      </c>
    </row>
    <row r="9" customFormat="false" ht="15" hidden="false" customHeight="true" outlineLevel="0" collapsed="false">
      <c r="A9" s="7" t="n">
        <v>6741</v>
      </c>
      <c r="B9" s="6" t="s">
        <v>559</v>
      </c>
      <c r="C9" s="6" t="s">
        <v>560</v>
      </c>
      <c r="D9" s="7" t="n">
        <v>1458</v>
      </c>
      <c r="E9" s="7" t="n">
        <v>67.6</v>
      </c>
      <c r="F9" s="7" t="n">
        <v>38.1</v>
      </c>
      <c r="G9" s="7" t="n">
        <v>1205</v>
      </c>
      <c r="H9" s="15" t="str">
        <f aca="false">IFERROR(INDEX(Ingrédients!$B:$B,MATCH(G9,Ingrédients!$A:$A,0)),"—")</f>
        <v>Jus de melon</v>
      </c>
    </row>
    <row r="10" customFormat="false" ht="15" hidden="false" customHeight="true" outlineLevel="0" collapsed="false">
      <c r="A10" s="7" t="n">
        <v>6741</v>
      </c>
      <c r="B10" s="6" t="s">
        <v>559</v>
      </c>
      <c r="C10" s="6" t="s">
        <v>560</v>
      </c>
      <c r="D10" s="7" t="n">
        <v>1458</v>
      </c>
      <c r="E10" s="7" t="n">
        <v>67.6</v>
      </c>
      <c r="F10" s="7" t="n">
        <v>38.1</v>
      </c>
      <c r="G10" s="7" t="n">
        <v>1708</v>
      </c>
      <c r="H10" s="15" t="str">
        <f aca="false">IFERROR(INDEX(Ingrédients!$B:$B,MATCH(G10,Ingrédients!$A:$A,0)),"—")</f>
        <v>Nectar sucré</v>
      </c>
    </row>
    <row r="11" customFormat="false" ht="15" hidden="false" customHeight="true" outlineLevel="0" collapsed="false">
      <c r="A11" s="7" t="n">
        <v>6741</v>
      </c>
      <c r="B11" s="6" t="s">
        <v>559</v>
      </c>
      <c r="C11" s="6" t="s">
        <v>560</v>
      </c>
      <c r="D11" s="7" t="n">
        <v>1458</v>
      </c>
      <c r="E11" s="7" t="n">
        <v>67.6</v>
      </c>
      <c r="F11" s="7" t="n">
        <v>38.1</v>
      </c>
      <c r="G11" s="7" t="n">
        <v>1645</v>
      </c>
      <c r="H11" s="15" t="str">
        <f aca="false">IFERROR(INDEX(Ingrédients!$B:$B,MATCH(G11,Ingrédients!$A:$A,0)),"—")</f>
        <v>Jus de baie lunaire</v>
      </c>
    </row>
    <row r="12" customFormat="false" ht="15" hidden="false" customHeight="true" outlineLevel="0" collapsed="false">
      <c r="A12" s="7" t="n">
        <v>6741</v>
      </c>
      <c r="B12" s="6" t="s">
        <v>559</v>
      </c>
      <c r="C12" s="6" t="s">
        <v>560</v>
      </c>
      <c r="D12" s="7" t="n">
        <v>1458</v>
      </c>
      <c r="E12" s="7" t="n">
        <v>67.6</v>
      </c>
      <c r="F12" s="7" t="n">
        <v>38.1</v>
      </c>
      <c r="G12" s="7" t="n">
        <v>8766</v>
      </c>
      <c r="H12" s="15" t="str">
        <f aca="false">IFERROR(INDEX(Ingrédients!$B:$B,MATCH(G12,Ingrédients!$A:$A,0)),"—")</f>
        <v>Soupe de rosée matinale</v>
      </c>
    </row>
    <row r="13" customFormat="false" ht="15" hidden="false" customHeight="true" outlineLevel="0" collapsed="false">
      <c r="A13" s="7" t="n">
        <v>4555</v>
      </c>
      <c r="B13" s="6" t="s">
        <v>561</v>
      </c>
      <c r="C13" s="6" t="s">
        <v>560</v>
      </c>
      <c r="D13" s="7" t="n">
        <v>1458</v>
      </c>
      <c r="E13" s="7" t="n">
        <v>69.1</v>
      </c>
      <c r="F13" s="7" t="n">
        <v>48.5</v>
      </c>
      <c r="G13" s="7" t="n">
        <v>159</v>
      </c>
      <c r="H13" s="15" t="str">
        <f aca="false">IFERROR(INDEX(Ingrédients!$B:$B,MATCH(G13,Ingrédients!$A:$A,0)),"—")</f>
        <v>Eau de source</v>
      </c>
    </row>
    <row r="14" customFormat="false" ht="15" hidden="false" customHeight="true" outlineLevel="0" collapsed="false">
      <c r="A14" s="7" t="n">
        <v>4555</v>
      </c>
      <c r="B14" s="6" t="s">
        <v>561</v>
      </c>
      <c r="C14" s="6" t="s">
        <v>560</v>
      </c>
      <c r="D14" s="7" t="n">
        <v>1458</v>
      </c>
      <c r="E14" s="7" t="n">
        <v>69.1</v>
      </c>
      <c r="F14" s="7" t="n">
        <v>48.5</v>
      </c>
      <c r="G14" s="7" t="n">
        <v>1179</v>
      </c>
      <c r="H14" s="15" t="str">
        <f aca="false">IFERROR(INDEX(Ingrédients!$B:$B,MATCH(G14,Ingrédients!$A:$A,0)),"—")</f>
        <v>Lait glacé</v>
      </c>
    </row>
    <row r="15" customFormat="false" ht="15" hidden="false" customHeight="true" outlineLevel="0" collapsed="false">
      <c r="A15" s="7" t="n">
        <v>4555</v>
      </c>
      <c r="B15" s="6" t="s">
        <v>561</v>
      </c>
      <c r="C15" s="6" t="s">
        <v>560</v>
      </c>
      <c r="D15" s="7" t="n">
        <v>1458</v>
      </c>
      <c r="E15" s="7" t="n">
        <v>69.1</v>
      </c>
      <c r="F15" s="7" t="n">
        <v>48.5</v>
      </c>
      <c r="G15" s="7" t="n">
        <v>1205</v>
      </c>
      <c r="H15" s="15" t="str">
        <f aca="false">IFERROR(INDEX(Ingrédients!$B:$B,MATCH(G15,Ingrédients!$A:$A,0)),"—")</f>
        <v>Jus de melon</v>
      </c>
    </row>
    <row r="16" customFormat="false" ht="15" hidden="false" customHeight="true" outlineLevel="0" collapsed="false">
      <c r="A16" s="7" t="n">
        <v>4555</v>
      </c>
      <c r="B16" s="6" t="s">
        <v>561</v>
      </c>
      <c r="C16" s="6" t="s">
        <v>560</v>
      </c>
      <c r="D16" s="7" t="n">
        <v>1458</v>
      </c>
      <c r="E16" s="7" t="n">
        <v>69.1</v>
      </c>
      <c r="F16" s="7" t="n">
        <v>48.5</v>
      </c>
      <c r="G16" s="7" t="n">
        <v>1708</v>
      </c>
      <c r="H16" s="15" t="str">
        <f aca="false">IFERROR(INDEX(Ingrédients!$B:$B,MATCH(G16,Ingrédients!$A:$A,0)),"—")</f>
        <v>Nectar sucré</v>
      </c>
    </row>
    <row r="17" customFormat="false" ht="15" hidden="false" customHeight="true" outlineLevel="0" collapsed="false">
      <c r="A17" s="7" t="n">
        <v>4555</v>
      </c>
      <c r="B17" s="6" t="s">
        <v>561</v>
      </c>
      <c r="C17" s="6" t="s">
        <v>560</v>
      </c>
      <c r="D17" s="7" t="n">
        <v>1458</v>
      </c>
      <c r="E17" s="7" t="n">
        <v>69.1</v>
      </c>
      <c r="F17" s="7" t="n">
        <v>48.5</v>
      </c>
      <c r="G17" s="7" t="n">
        <v>1645</v>
      </c>
      <c r="H17" s="15" t="str">
        <f aca="false">IFERROR(INDEX(Ingrédients!$B:$B,MATCH(G17,Ingrédients!$A:$A,0)),"—")</f>
        <v>Jus de baie lunaire</v>
      </c>
    </row>
    <row r="18" customFormat="false" ht="15" hidden="false" customHeight="true" outlineLevel="0" collapsed="false">
      <c r="A18" s="7" t="n">
        <v>4555</v>
      </c>
      <c r="B18" s="6" t="s">
        <v>561</v>
      </c>
      <c r="C18" s="6" t="s">
        <v>560</v>
      </c>
      <c r="D18" s="7" t="n">
        <v>1458</v>
      </c>
      <c r="E18" s="7" t="n">
        <v>69.1</v>
      </c>
      <c r="F18" s="7" t="n">
        <v>48.5</v>
      </c>
      <c r="G18" s="7" t="n">
        <v>8766</v>
      </c>
      <c r="H18" s="15" t="str">
        <f aca="false">IFERROR(INDEX(Ingrédients!$B:$B,MATCH(G18,Ingrédients!$A:$A,0)),"—")</f>
        <v>Soupe de rosée matinale</v>
      </c>
    </row>
    <row r="19" customFormat="false" ht="15" hidden="false" customHeight="true" outlineLevel="0" collapsed="false">
      <c r="A19" s="7" t="n">
        <v>4555</v>
      </c>
      <c r="B19" s="6" t="s">
        <v>561</v>
      </c>
      <c r="C19" s="6" t="s">
        <v>560</v>
      </c>
      <c r="D19" s="7" t="n">
        <v>1458</v>
      </c>
      <c r="E19" s="7" t="n">
        <v>69.1</v>
      </c>
      <c r="F19" s="7" t="n">
        <v>48.5</v>
      </c>
      <c r="G19" s="7" t="n">
        <v>11291</v>
      </c>
      <c r="H19" s="15" t="str">
        <f aca="false">IFERROR(INDEX(Ingrédients!$B:$B,MATCH(G19,Ingrédients!$A:$A,0)),"—")</f>
        <v>Bois d'étoile</v>
      </c>
    </row>
    <row r="20" customFormat="false" ht="15" hidden="false" customHeight="true" outlineLevel="0" collapsed="false">
      <c r="A20" s="7" t="n">
        <v>4555</v>
      </c>
      <c r="B20" s="6" t="s">
        <v>561</v>
      </c>
      <c r="C20" s="6" t="s">
        <v>560</v>
      </c>
      <c r="D20" s="7" t="n">
        <v>1458</v>
      </c>
      <c r="E20" s="7" t="n">
        <v>69.1</v>
      </c>
      <c r="F20" s="7" t="n">
        <v>48.5</v>
      </c>
      <c r="G20" s="7" t="n">
        <v>4470</v>
      </c>
      <c r="H20" s="15" t="str">
        <f aca="false">IFERROR(INDEX(Ingrédients!$B:$B,MATCH(G20,Ingrédients!$A:$A,0)),"—")</f>
        <v>Bois simple</v>
      </c>
    </row>
    <row r="21" customFormat="false" ht="15" hidden="false" customHeight="true" outlineLevel="0" collapsed="false">
      <c r="A21" s="7" t="n">
        <v>4617</v>
      </c>
      <c r="B21" s="6" t="s">
        <v>562</v>
      </c>
      <c r="C21" s="6" t="s">
        <v>560</v>
      </c>
      <c r="D21" s="7" t="n">
        <v>1458</v>
      </c>
      <c r="E21" s="7" t="n">
        <v>62</v>
      </c>
      <c r="F21" s="7" t="n">
        <v>60.9</v>
      </c>
      <c r="G21" s="7" t="n">
        <v>4470</v>
      </c>
      <c r="H21" s="15" t="str">
        <f aca="false">IFERROR(INDEX(Ingrédients!$B:$B,MATCH(G21,Ingrédients!$A:$A,0)),"—")</f>
        <v>Bois simple</v>
      </c>
    </row>
    <row r="22" customFormat="false" ht="15" hidden="false" customHeight="true" outlineLevel="0" collapsed="false">
      <c r="A22" s="7" t="n">
        <v>4617</v>
      </c>
      <c r="B22" s="6" t="s">
        <v>562</v>
      </c>
      <c r="C22" s="6" t="s">
        <v>560</v>
      </c>
      <c r="D22" s="7" t="n">
        <v>1458</v>
      </c>
      <c r="E22" s="7" t="n">
        <v>62</v>
      </c>
      <c r="F22" s="7" t="n">
        <v>60.9</v>
      </c>
      <c r="G22" s="7" t="n">
        <v>11291</v>
      </c>
      <c r="H22" s="15" t="str">
        <f aca="false">IFERROR(INDEX(Ingrédients!$B:$B,MATCH(G22,Ingrédients!$A:$A,0)),"—")</f>
        <v>Bois d'étoile</v>
      </c>
    </row>
    <row r="23" customFormat="false" ht="15" hidden="false" customHeight="true" outlineLevel="0" collapsed="false">
      <c r="A23" s="7" t="n">
        <v>4775</v>
      </c>
      <c r="B23" s="6" t="s">
        <v>563</v>
      </c>
      <c r="C23" s="6" t="s">
        <v>560</v>
      </c>
      <c r="D23" s="7" t="n">
        <v>1458</v>
      </c>
      <c r="E23" s="7" t="n">
        <v>64.1</v>
      </c>
      <c r="F23" s="7" t="n">
        <v>50.2</v>
      </c>
      <c r="G23" s="7" t="n">
        <v>2678</v>
      </c>
      <c r="H23" s="15" t="str">
        <f aca="false">IFERROR(INDEX(Ingrédients!$B:$B,MATCH(G23,Ingrédients!$A:$A,0)),"—")</f>
        <v>Epices douces</v>
      </c>
    </row>
    <row r="24" customFormat="false" ht="15" hidden="false" customHeight="true" outlineLevel="0" collapsed="false">
      <c r="A24" s="7" t="n">
        <v>4775</v>
      </c>
      <c r="B24" s="6" t="s">
        <v>563</v>
      </c>
      <c r="C24" s="6" t="s">
        <v>560</v>
      </c>
      <c r="D24" s="7" t="n">
        <v>1458</v>
      </c>
      <c r="E24" s="7" t="n">
        <v>64.1</v>
      </c>
      <c r="F24" s="7" t="n">
        <v>50.2</v>
      </c>
      <c r="G24" s="7" t="n">
        <v>4536</v>
      </c>
      <c r="H24" s="15" t="str">
        <f aca="false">IFERROR(INDEX(Ingrédients!$B:$B,MATCH(G24,Ingrédients!$A:$A,0)),"—")</f>
        <v>Pomme rouge brillante</v>
      </c>
    </row>
    <row r="25" customFormat="false" ht="15" hidden="false" customHeight="true" outlineLevel="0" collapsed="false">
      <c r="A25" s="7" t="n">
        <v>4775</v>
      </c>
      <c r="B25" s="6" t="s">
        <v>563</v>
      </c>
      <c r="C25" s="6" t="s">
        <v>560</v>
      </c>
      <c r="D25" s="7" t="n">
        <v>1458</v>
      </c>
      <c r="E25" s="7" t="n">
        <v>64.1</v>
      </c>
      <c r="F25" s="7" t="n">
        <v>50.2</v>
      </c>
      <c r="G25" s="7" t="n">
        <v>2692</v>
      </c>
      <c r="H25" s="15" t="str">
        <f aca="false">IFERROR(INDEX(Ingrédients!$B:$B,MATCH(G25,Ingrédients!$A:$A,0)),"—")</f>
        <v>Epices fortes</v>
      </c>
    </row>
    <row r="26" customFormat="false" ht="15" hidden="false" customHeight="true" outlineLevel="0" collapsed="false">
      <c r="A26" s="7" t="n">
        <v>4775</v>
      </c>
      <c r="B26" s="6" t="s">
        <v>563</v>
      </c>
      <c r="C26" s="6" t="s">
        <v>560</v>
      </c>
      <c r="D26" s="7" t="n">
        <v>1458</v>
      </c>
      <c r="E26" s="7" t="n">
        <v>64.1</v>
      </c>
      <c r="F26" s="7" t="n">
        <v>50.2</v>
      </c>
      <c r="G26" s="7" t="n">
        <v>3713</v>
      </c>
      <c r="H26" s="15" t="str">
        <f aca="false">IFERROR(INDEX(Ingrédients!$B:$B,MATCH(G26,Ingrédients!$A:$A,0)),"—")</f>
        <v>Epices apaisantes</v>
      </c>
    </row>
    <row r="27" customFormat="false" ht="15" hidden="false" customHeight="true" outlineLevel="0" collapsed="false">
      <c r="A27" s="7" t="n">
        <v>4561</v>
      </c>
      <c r="B27" s="6" t="s">
        <v>564</v>
      </c>
      <c r="C27" s="6" t="s">
        <v>560</v>
      </c>
      <c r="D27" s="7" t="n">
        <v>1458</v>
      </c>
      <c r="E27" s="7" t="n">
        <v>64.2</v>
      </c>
      <c r="F27" s="7" t="n">
        <v>37.8</v>
      </c>
      <c r="G27" s="7" t="n">
        <v>4536</v>
      </c>
      <c r="H27" s="15" t="str">
        <f aca="false">IFERROR(INDEX(Ingrédients!$B:$B,MATCH(G27,Ingrédients!$A:$A,0)),"—")</f>
        <v>Pomme rouge brillante</v>
      </c>
    </row>
    <row r="28" customFormat="false" ht="15" hidden="false" customHeight="true" outlineLevel="0" collapsed="false">
      <c r="A28" s="7" t="n">
        <v>4561</v>
      </c>
      <c r="B28" s="6" t="s">
        <v>564</v>
      </c>
      <c r="C28" s="6" t="s">
        <v>560</v>
      </c>
      <c r="D28" s="7" t="n">
        <v>1458</v>
      </c>
      <c r="E28" s="7" t="n">
        <v>64.2</v>
      </c>
      <c r="F28" s="7" t="n">
        <v>37.8</v>
      </c>
      <c r="G28" s="7" t="n">
        <v>2678</v>
      </c>
      <c r="H28" s="15" t="str">
        <f aca="false">IFERROR(INDEX(Ingrédients!$B:$B,MATCH(G28,Ingrédients!$A:$A,0)),"—")</f>
        <v>Epices douces</v>
      </c>
    </row>
    <row r="29" customFormat="false" ht="15" hidden="false" customHeight="true" outlineLevel="0" collapsed="false">
      <c r="A29" s="7" t="n">
        <v>4561</v>
      </c>
      <c r="B29" s="6" t="s">
        <v>564</v>
      </c>
      <c r="C29" s="6" t="s">
        <v>560</v>
      </c>
      <c r="D29" s="7" t="n">
        <v>1458</v>
      </c>
      <c r="E29" s="7" t="n">
        <v>64.2</v>
      </c>
      <c r="F29" s="7" t="n">
        <v>37.8</v>
      </c>
      <c r="G29" s="7" t="n">
        <v>2692</v>
      </c>
      <c r="H29" s="15" t="str">
        <f aca="false">IFERROR(INDEX(Ingrédients!$B:$B,MATCH(G29,Ingrédients!$A:$A,0)),"—")</f>
        <v>Epices fortes</v>
      </c>
    </row>
    <row r="30" customFormat="false" ht="15" hidden="false" customHeight="true" outlineLevel="0" collapsed="false">
      <c r="A30" s="7" t="n">
        <v>4561</v>
      </c>
      <c r="B30" s="6" t="s">
        <v>564</v>
      </c>
      <c r="C30" s="6" t="s">
        <v>560</v>
      </c>
      <c r="D30" s="7" t="n">
        <v>1458</v>
      </c>
      <c r="E30" s="7" t="n">
        <v>64.2</v>
      </c>
      <c r="F30" s="7" t="n">
        <v>37.8</v>
      </c>
      <c r="G30" s="7" t="n">
        <v>3713</v>
      </c>
      <c r="H30" s="15" t="str">
        <f aca="false">IFERROR(INDEX(Ingrédients!$B:$B,MATCH(G30,Ingrédients!$A:$A,0)),"—")</f>
        <v>Epices apaisantes</v>
      </c>
    </row>
    <row r="31" customFormat="false" ht="15" hidden="false" customHeight="true" outlineLevel="0" collapsed="false">
      <c r="A31" s="21"/>
      <c r="B31" s="21"/>
      <c r="C31" s="21"/>
      <c r="D31" s="21"/>
      <c r="E31" s="21"/>
      <c r="F31" s="21"/>
      <c r="G31" s="21"/>
      <c r="H31" s="21"/>
    </row>
    <row r="32" customFormat="false" ht="15" hidden="false" customHeight="true" outlineLevel="0" collapsed="false">
      <c r="A32" s="21"/>
      <c r="B32" s="21"/>
      <c r="C32" s="21"/>
      <c r="D32" s="21"/>
      <c r="E32" s="21"/>
      <c r="F32" s="21"/>
      <c r="G32" s="21"/>
      <c r="H32" s="21"/>
    </row>
    <row r="33" customFormat="false" ht="15" hidden="false" customHeight="true" outlineLevel="0" collapsed="false">
      <c r="A33" s="21"/>
      <c r="B33" s="21"/>
      <c r="C33" s="21"/>
      <c r="D33" s="21"/>
      <c r="E33" s="21"/>
      <c r="F33" s="21"/>
      <c r="G33" s="21"/>
      <c r="H33" s="21"/>
    </row>
    <row r="34" customFormat="false" ht="15" hidden="false" customHeight="true" outlineLevel="0" collapsed="false">
      <c r="A34" s="21"/>
      <c r="B34" s="21"/>
      <c r="C34" s="21"/>
      <c r="D34" s="21"/>
      <c r="E34" s="21"/>
      <c r="F34" s="21"/>
      <c r="G34" s="21"/>
      <c r="H34" s="21"/>
    </row>
    <row r="35" customFormat="false" ht="15" hidden="false" customHeight="true" outlineLevel="0" collapsed="false">
      <c r="A35" s="21"/>
      <c r="B35" s="21"/>
      <c r="C35" s="21"/>
      <c r="D35" s="21"/>
      <c r="E35" s="21"/>
      <c r="F35" s="21"/>
      <c r="G35" s="21"/>
      <c r="H35" s="21"/>
    </row>
    <row r="36" customFormat="false" ht="15" hidden="false" customHeight="true" outlineLevel="0" collapsed="false">
      <c r="A36" s="21"/>
      <c r="B36" s="21"/>
      <c r="C36" s="21"/>
      <c r="D36" s="21"/>
      <c r="E36" s="21"/>
      <c r="F36" s="21"/>
      <c r="G36" s="21"/>
      <c r="H36" s="21"/>
    </row>
    <row r="37" customFormat="false" ht="15" hidden="false" customHeight="true" outlineLevel="0" collapsed="false">
      <c r="A37" s="21"/>
      <c r="B37" s="21"/>
      <c r="C37" s="21"/>
      <c r="D37" s="21"/>
      <c r="E37" s="21"/>
      <c r="F37" s="21"/>
      <c r="G37" s="21"/>
      <c r="H37" s="21"/>
    </row>
    <row r="38" customFormat="false" ht="15" hidden="false" customHeight="true" outlineLevel="0" collapsed="false">
      <c r="A38" s="21"/>
      <c r="B38" s="21"/>
      <c r="C38" s="21"/>
      <c r="D38" s="21"/>
      <c r="E38" s="21"/>
      <c r="F38" s="21"/>
      <c r="G38" s="21"/>
      <c r="H38" s="21"/>
    </row>
    <row r="39" customFormat="false" ht="15" hidden="false" customHeight="true" outlineLevel="0" collapsed="false">
      <c r="A39" s="21"/>
      <c r="B39" s="21"/>
      <c r="C39" s="21"/>
      <c r="D39" s="21"/>
      <c r="E39" s="21"/>
      <c r="F39" s="21"/>
      <c r="G39" s="21"/>
      <c r="H39" s="21"/>
    </row>
    <row r="40" customFormat="false" ht="15" hidden="false" customHeight="true" outlineLevel="0" collapsed="false">
      <c r="A40" s="21"/>
      <c r="B40" s="21"/>
      <c r="C40" s="21"/>
      <c r="D40" s="21"/>
      <c r="E40" s="21"/>
      <c r="F40" s="21"/>
      <c r="G40" s="21"/>
      <c r="H40" s="21"/>
    </row>
    <row r="41" customFormat="false" ht="15" hidden="false" customHeight="true" outlineLevel="0" collapsed="false">
      <c r="A41" s="21"/>
      <c r="B41" s="21"/>
      <c r="C41" s="21"/>
      <c r="D41" s="21"/>
      <c r="E41" s="21"/>
      <c r="F41" s="21"/>
      <c r="G41" s="21"/>
      <c r="H41" s="21"/>
    </row>
    <row r="42" customFormat="false" ht="15" hidden="false" customHeight="true" outlineLevel="0" collapsed="false">
      <c r="A42" s="21"/>
      <c r="B42" s="21"/>
      <c r="C42" s="21"/>
      <c r="D42" s="21"/>
      <c r="E42" s="21"/>
      <c r="F42" s="21"/>
      <c r="G42" s="21"/>
      <c r="H42" s="21"/>
    </row>
    <row r="43" customFormat="false" ht="15" hidden="false" customHeight="true" outlineLevel="0" collapsed="false">
      <c r="A43" s="21"/>
      <c r="B43" s="21"/>
      <c r="C43" s="21"/>
      <c r="D43" s="21"/>
      <c r="E43" s="21"/>
      <c r="F43" s="21"/>
      <c r="G43" s="21"/>
      <c r="H43" s="21"/>
    </row>
    <row r="44" customFormat="false" ht="15" hidden="false" customHeight="true" outlineLevel="0" collapsed="false">
      <c r="A44" s="21"/>
      <c r="B44" s="21"/>
      <c r="C44" s="21"/>
      <c r="D44" s="21"/>
      <c r="E44" s="21"/>
      <c r="F44" s="21"/>
      <c r="G44" s="21"/>
      <c r="H44" s="21"/>
    </row>
    <row r="45" customFormat="false" ht="15" hidden="false" customHeight="true" outlineLevel="0" collapsed="false">
      <c r="A45" s="21"/>
      <c r="B45" s="21"/>
      <c r="C45" s="21"/>
      <c r="D45" s="21"/>
      <c r="E45" s="21"/>
      <c r="F45" s="21"/>
      <c r="G45" s="21"/>
      <c r="H45" s="21"/>
    </row>
    <row r="46" customFormat="false" ht="15" hidden="false" customHeight="true" outlineLevel="0" collapsed="false">
      <c r="A46" s="21"/>
      <c r="B46" s="21"/>
      <c r="C46" s="21"/>
      <c r="D46" s="21"/>
      <c r="E46" s="21"/>
      <c r="F46" s="21"/>
      <c r="G46" s="21"/>
      <c r="H46" s="21"/>
    </row>
    <row r="47" customFormat="false" ht="15" hidden="false" customHeight="true" outlineLevel="0" collapsed="false">
      <c r="A47" s="21"/>
      <c r="B47" s="21"/>
      <c r="C47" s="21"/>
      <c r="D47" s="21"/>
      <c r="E47" s="21"/>
      <c r="F47" s="21"/>
      <c r="G47" s="21"/>
      <c r="H47" s="21"/>
    </row>
    <row r="48" customFormat="false" ht="15" hidden="false" customHeight="true" outlineLevel="0" collapsed="false">
      <c r="A48" s="21"/>
      <c r="B48" s="21"/>
      <c r="C48" s="21"/>
      <c r="D48" s="21"/>
      <c r="E48" s="21"/>
      <c r="F48" s="21"/>
      <c r="G48" s="21"/>
      <c r="H48" s="21"/>
    </row>
    <row r="49" customFormat="false" ht="15" hidden="false" customHeight="true" outlineLevel="0" collapsed="false">
      <c r="A49" s="21"/>
      <c r="B49" s="21"/>
      <c r="C49" s="21"/>
      <c r="D49" s="21"/>
      <c r="E49" s="21"/>
      <c r="F49" s="21"/>
      <c r="G49" s="21"/>
      <c r="H49" s="21"/>
    </row>
    <row r="50" customFormat="false" ht="15" hidden="false" customHeight="true" outlineLevel="0" collapsed="false">
      <c r="A50" s="21"/>
      <c r="B50" s="21"/>
      <c r="C50" s="21"/>
      <c r="D50" s="21"/>
      <c r="E50" s="21"/>
      <c r="F50" s="21"/>
      <c r="G50" s="21"/>
      <c r="H50" s="21"/>
    </row>
    <row r="51" customFormat="false" ht="15" hidden="false" customHeight="true" outlineLevel="0" collapsed="false">
      <c r="A51" s="21"/>
      <c r="B51" s="21"/>
      <c r="C51" s="21"/>
      <c r="D51" s="21"/>
      <c r="E51" s="21"/>
      <c r="F51" s="21"/>
      <c r="G51" s="21"/>
      <c r="H51" s="21"/>
    </row>
    <row r="52" customFormat="false" ht="15" hidden="false" customHeight="true" outlineLevel="0" collapsed="false">
      <c r="A52" s="21"/>
      <c r="B52" s="21"/>
      <c r="C52" s="21"/>
      <c r="D52" s="21"/>
      <c r="E52" s="21"/>
      <c r="F52" s="21"/>
      <c r="G52" s="21"/>
      <c r="H52" s="21"/>
    </row>
    <row r="53" customFormat="false" ht="15" hidden="false" customHeight="true" outlineLevel="0" collapsed="false">
      <c r="A53" s="21"/>
      <c r="B53" s="21"/>
      <c r="C53" s="21"/>
      <c r="D53" s="21"/>
      <c r="E53" s="21"/>
      <c r="F53" s="21"/>
      <c r="G53" s="21"/>
      <c r="H53" s="21"/>
    </row>
    <row r="54" customFormat="false" ht="15" hidden="false" customHeight="true" outlineLevel="0" collapsed="false">
      <c r="A54" s="21"/>
      <c r="B54" s="21"/>
      <c r="C54" s="21"/>
      <c r="D54" s="21"/>
      <c r="E54" s="21"/>
      <c r="F54" s="21"/>
      <c r="G54" s="21"/>
      <c r="H54" s="21"/>
    </row>
    <row r="55" customFormat="false" ht="15" hidden="false" customHeight="true" outlineLevel="0" collapsed="false">
      <c r="A55" s="21"/>
      <c r="B55" s="21"/>
      <c r="C55" s="21"/>
      <c r="D55" s="21"/>
      <c r="E55" s="21"/>
      <c r="F55" s="21"/>
      <c r="G55" s="21"/>
      <c r="H55" s="21"/>
    </row>
    <row r="56" customFormat="false" ht="15" hidden="false" customHeight="true" outlineLevel="0" collapsed="false">
      <c r="A56" s="21"/>
      <c r="B56" s="21"/>
      <c r="C56" s="21"/>
      <c r="D56" s="21"/>
      <c r="E56" s="21"/>
      <c r="F56" s="21"/>
      <c r="G56" s="21"/>
      <c r="H56" s="21"/>
    </row>
    <row r="57" customFormat="false" ht="15" hidden="false" customHeight="true" outlineLevel="0" collapsed="false">
      <c r="A57" s="21"/>
      <c r="B57" s="21"/>
      <c r="C57" s="21"/>
      <c r="D57" s="21"/>
      <c r="E57" s="21"/>
      <c r="F57" s="21"/>
      <c r="G57" s="21"/>
      <c r="H57" s="21"/>
    </row>
    <row r="58" customFormat="false" ht="15" hidden="false" customHeight="true" outlineLevel="0" collapsed="false">
      <c r="A58" s="21"/>
      <c r="B58" s="21"/>
      <c r="C58" s="21"/>
      <c r="D58" s="21"/>
      <c r="E58" s="21"/>
      <c r="F58" s="21"/>
      <c r="G58" s="21"/>
      <c r="H58" s="21"/>
    </row>
    <row r="59" customFormat="false" ht="15" hidden="false" customHeight="true" outlineLevel="0" collapsed="false">
      <c r="A59" s="21"/>
      <c r="B59" s="21"/>
      <c r="C59" s="21"/>
      <c r="D59" s="21"/>
      <c r="E59" s="21"/>
      <c r="F59" s="21"/>
      <c r="G59" s="21"/>
      <c r="H59" s="21"/>
    </row>
    <row r="60" customFormat="false" ht="15" hidden="false" customHeight="true" outlineLevel="0" collapsed="false">
      <c r="A60" s="21"/>
      <c r="B60" s="21"/>
      <c r="C60" s="21"/>
      <c r="D60" s="21"/>
      <c r="E60" s="21"/>
      <c r="F60" s="21"/>
      <c r="G60" s="21"/>
      <c r="H60" s="21"/>
    </row>
    <row r="61" customFormat="false" ht="15" hidden="false" customHeight="true" outlineLevel="0" collapsed="false">
      <c r="A61" s="21"/>
      <c r="B61" s="21"/>
      <c r="C61" s="21"/>
      <c r="D61" s="21"/>
      <c r="E61" s="21"/>
      <c r="F61" s="21"/>
      <c r="G61" s="21"/>
      <c r="H61" s="21"/>
    </row>
    <row r="62" customFormat="false" ht="15" hidden="false" customHeight="true" outlineLevel="0" collapsed="false">
      <c r="A62" s="21"/>
      <c r="B62" s="21"/>
      <c r="C62" s="21"/>
      <c r="D62" s="21"/>
      <c r="E62" s="21"/>
      <c r="F62" s="21"/>
      <c r="G62" s="21"/>
      <c r="H62" s="21"/>
    </row>
    <row r="63" customFormat="false" ht="15" hidden="false" customHeight="true" outlineLevel="0" collapsed="false">
      <c r="A63" s="21"/>
      <c r="B63" s="21"/>
      <c r="C63" s="21"/>
      <c r="D63" s="21"/>
      <c r="E63" s="21"/>
      <c r="F63" s="21"/>
      <c r="G63" s="21"/>
      <c r="H63" s="21"/>
    </row>
    <row r="64" customFormat="false" ht="15" hidden="false" customHeight="true" outlineLevel="0" collapsed="false">
      <c r="A64" s="21"/>
      <c r="B64" s="21"/>
      <c r="C64" s="21"/>
      <c r="D64" s="21"/>
      <c r="E64" s="21"/>
      <c r="F64" s="21"/>
      <c r="G64" s="21"/>
      <c r="H64" s="21"/>
    </row>
    <row r="65" customFormat="false" ht="15" hidden="false" customHeight="true" outlineLevel="0" collapsed="false">
      <c r="A65" s="21"/>
      <c r="B65" s="21"/>
      <c r="C65" s="21"/>
      <c r="D65" s="21"/>
      <c r="E65" s="21"/>
      <c r="F65" s="21"/>
      <c r="G65" s="21"/>
      <c r="H65" s="21"/>
    </row>
    <row r="66" customFormat="false" ht="15" hidden="false" customHeight="true" outlineLevel="0" collapsed="false">
      <c r="A66" s="21"/>
      <c r="B66" s="21"/>
      <c r="C66" s="21"/>
      <c r="D66" s="21"/>
      <c r="E66" s="21"/>
      <c r="F66" s="21"/>
      <c r="G66" s="21"/>
      <c r="H66" s="21"/>
    </row>
    <row r="67" customFormat="false" ht="15" hidden="false" customHeight="true" outlineLevel="0" collapsed="false">
      <c r="A67" s="21"/>
      <c r="B67" s="21"/>
      <c r="C67" s="21"/>
      <c r="D67" s="21"/>
      <c r="E67" s="21"/>
      <c r="F67" s="21"/>
      <c r="G67" s="21"/>
      <c r="H67" s="21"/>
    </row>
    <row r="68" customFormat="false" ht="15" hidden="false" customHeight="true" outlineLevel="0" collapsed="false">
      <c r="A68" s="21"/>
      <c r="B68" s="21"/>
      <c r="C68" s="21"/>
      <c r="D68" s="21"/>
      <c r="E68" s="21"/>
      <c r="F68" s="21"/>
      <c r="G68" s="21"/>
      <c r="H68" s="21"/>
    </row>
    <row r="69" customFormat="false" ht="15" hidden="false" customHeight="true" outlineLevel="0" collapsed="false">
      <c r="A69" s="21"/>
      <c r="B69" s="21"/>
      <c r="C69" s="21"/>
      <c r="D69" s="21"/>
      <c r="E69" s="21"/>
      <c r="F69" s="21"/>
      <c r="G69" s="21"/>
      <c r="H69" s="21"/>
    </row>
    <row r="70" customFormat="false" ht="15" hidden="false" customHeight="true" outlineLevel="0" collapsed="false">
      <c r="A70" s="21"/>
      <c r="B70" s="21"/>
      <c r="C70" s="21"/>
      <c r="D70" s="21"/>
      <c r="E70" s="21"/>
      <c r="F70" s="21"/>
      <c r="G70" s="21"/>
      <c r="H70" s="21"/>
    </row>
    <row r="72" customFormat="false" ht="15" hidden="false" customHeight="true" outlineLevel="0" collapsed="false">
      <c r="A72" s="22" t="s">
        <v>565</v>
      </c>
    </row>
  </sheetData>
  <autoFilter ref="A1:H30"/>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4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10"/>
    <col collapsed="false" customWidth="true" hidden="false" outlineLevel="0" max="2" min="2" style="1" width="24"/>
    <col collapsed="false" customWidth="true" hidden="false" outlineLevel="0" max="3" min="3" style="1" width="26"/>
    <col collapsed="false" customWidth="true" hidden="false" outlineLevel="0" max="6" min="4" style="1" width="9"/>
    <col collapsed="false" customWidth="true" hidden="false" outlineLevel="0" max="7" min="7" style="1" width="16"/>
    <col collapsed="false" customWidth="true" hidden="false" outlineLevel="0" max="8" min="8" style="1" width="46"/>
    <col collapsed="false" customWidth="true" hidden="false" outlineLevel="0" max="9" min="9" style="1" width="16"/>
    <col collapsed="false" customWidth="true" hidden="false" outlineLevel="0" max="10" min="10" style="1" width="36"/>
    <col collapsed="false" customWidth="true" hidden="false" outlineLevel="0" max="11" min="11" style="1" width="38"/>
  </cols>
  <sheetData>
    <row r="1" customFormat="false" ht="31.5" hidden="false" customHeight="true" outlineLevel="0" collapsed="false">
      <c r="A1" s="5" t="s">
        <v>548</v>
      </c>
      <c r="B1" s="5" t="s">
        <v>549</v>
      </c>
      <c r="C1" s="5" t="s">
        <v>550</v>
      </c>
      <c r="D1" s="5" t="s">
        <v>551</v>
      </c>
      <c r="E1" s="5" t="s">
        <v>552</v>
      </c>
      <c r="F1" s="5" t="s">
        <v>553</v>
      </c>
      <c r="G1" s="5" t="s">
        <v>566</v>
      </c>
      <c r="H1" s="5" t="s">
        <v>567</v>
      </c>
      <c r="I1" s="5" t="s">
        <v>568</v>
      </c>
      <c r="J1" s="5" t="s">
        <v>569</v>
      </c>
      <c r="K1" s="5" t="s">
        <v>570</v>
      </c>
    </row>
    <row r="2" customFormat="false" ht="15" hidden="false" customHeight="true" outlineLevel="0" collapsed="false">
      <c r="A2" s="7" t="n">
        <v>2118</v>
      </c>
      <c r="B2" s="6" t="s">
        <v>556</v>
      </c>
      <c r="C2" s="6" t="s">
        <v>555</v>
      </c>
      <c r="D2" s="7" t="n">
        <v>1420</v>
      </c>
      <c r="E2" s="7" t="n">
        <v>61</v>
      </c>
      <c r="F2" s="7" t="n">
        <v>52.4</v>
      </c>
      <c r="G2" s="7" t="n">
        <v>12226</v>
      </c>
      <c r="H2" s="6" t="s">
        <v>571</v>
      </c>
      <c r="I2" s="7" t="n">
        <v>12224</v>
      </c>
      <c r="J2" s="15" t="str">
        <f aca="false">IFERROR(INDEX(Recettes!$C:$C,MATCH(I2,Recettes!$A:$A,0)),"—")</f>
        <v>Aile de chauve-souris croustillante</v>
      </c>
      <c r="K2" s="15" t="s">
        <v>572</v>
      </c>
    </row>
    <row r="3" customFormat="false" ht="15" hidden="false" customHeight="true" outlineLevel="0" collapsed="false">
      <c r="A3" s="7" t="n">
        <v>3550</v>
      </c>
      <c r="B3" s="6" t="s">
        <v>573</v>
      </c>
      <c r="C3" s="6" t="s">
        <v>555</v>
      </c>
      <c r="D3" s="7" t="n">
        <v>1420</v>
      </c>
      <c r="E3" s="7" t="n">
        <v>65.9</v>
      </c>
      <c r="F3" s="7" t="n">
        <v>59.6</v>
      </c>
      <c r="G3" s="7" t="n">
        <v>6325</v>
      </c>
      <c r="H3" s="6" t="s">
        <v>574</v>
      </c>
      <c r="I3" s="7" t="n">
        <v>6290</v>
      </c>
      <c r="J3" s="15" t="str">
        <f aca="false">IFERROR(INDEX(Recettes!$C:$C,MATCH(I3,Recettes!$A:$A,0)),"—")</f>
        <v>Goujon brillant</v>
      </c>
      <c r="K3" s="15" t="s">
        <v>572</v>
      </c>
    </row>
    <row r="4" customFormat="false" ht="15" hidden="false" customHeight="true" outlineLevel="0" collapsed="false">
      <c r="A4" s="7" t="n">
        <v>3550</v>
      </c>
      <c r="B4" s="6" t="s">
        <v>573</v>
      </c>
      <c r="C4" s="6" t="s">
        <v>555</v>
      </c>
      <c r="D4" s="7" t="n">
        <v>1420</v>
      </c>
      <c r="E4" s="7" t="n">
        <v>65.9</v>
      </c>
      <c r="F4" s="7" t="n">
        <v>59.6</v>
      </c>
      <c r="G4" s="7" t="n">
        <v>6326</v>
      </c>
      <c r="H4" s="6" t="s">
        <v>575</v>
      </c>
      <c r="I4" s="7" t="n">
        <v>787</v>
      </c>
      <c r="J4" s="15" t="str">
        <f aca="false">IFERROR(INDEX(Recettes!$C:$C,MATCH(I4,Recettes!$A:$A,0)),"—")</f>
        <v>Maquereau ombré</v>
      </c>
      <c r="K4" s="15" t="s">
        <v>572</v>
      </c>
    </row>
    <row r="5" customFormat="false" ht="15" hidden="false" customHeight="true" outlineLevel="0" collapsed="false">
      <c r="A5" s="7" t="n">
        <v>3556</v>
      </c>
      <c r="B5" s="6" t="s">
        <v>576</v>
      </c>
      <c r="C5" s="6" t="s">
        <v>577</v>
      </c>
      <c r="D5" s="7" t="n">
        <v>1421</v>
      </c>
      <c r="E5" s="7" t="n">
        <v>43.2</v>
      </c>
      <c r="F5" s="7" t="n">
        <v>40.7</v>
      </c>
      <c r="G5" s="7" t="n">
        <v>6892</v>
      </c>
      <c r="H5" s="6" t="s">
        <v>578</v>
      </c>
      <c r="I5" s="7" t="n">
        <v>6890</v>
      </c>
      <c r="J5" s="15" t="str">
        <f aca="false">IFERROR(INDEX(Recettes!$C:$C,MATCH(I5,Recettes!$A:$A,0)),"—")</f>
        <v>Viande d'ours fumée</v>
      </c>
      <c r="K5" s="15" t="s">
        <v>579</v>
      </c>
    </row>
    <row r="6" customFormat="false" ht="15" hidden="false" customHeight="true" outlineLevel="0" collapsed="false">
      <c r="A6" s="7" t="n">
        <v>2664</v>
      </c>
      <c r="B6" s="6" t="s">
        <v>580</v>
      </c>
      <c r="C6" s="6" t="s">
        <v>581</v>
      </c>
      <c r="D6" s="7" t="n">
        <v>1434</v>
      </c>
      <c r="E6" s="7" t="n">
        <v>28.2</v>
      </c>
      <c r="F6" s="7" t="n">
        <v>74.3</v>
      </c>
      <c r="G6" s="7" t="n">
        <v>13940</v>
      </c>
      <c r="H6" s="6" t="s">
        <v>582</v>
      </c>
      <c r="I6" s="7" t="n">
        <v>13927</v>
      </c>
      <c r="J6" s="15" t="str">
        <f aca="false">IFERROR(INDEX(Recettes!$C:$C,MATCH(I6,Recettes!$A:$A,0)),"—")</f>
        <v>Barracuda luisant cuit</v>
      </c>
      <c r="K6" s="15" t="s">
        <v>579</v>
      </c>
    </row>
    <row r="7" customFormat="false" ht="15" hidden="false" customHeight="true" outlineLevel="0" collapsed="false">
      <c r="A7" s="21"/>
      <c r="B7" s="21"/>
      <c r="C7" s="21"/>
      <c r="D7" s="21"/>
      <c r="E7" s="21"/>
      <c r="F7" s="21"/>
      <c r="G7" s="21"/>
      <c r="H7" s="21"/>
      <c r="I7" s="21"/>
      <c r="J7" s="21"/>
    </row>
    <row r="8" customFormat="false" ht="15" hidden="false" customHeight="true" outlineLevel="0" collapsed="false">
      <c r="A8" s="21"/>
      <c r="B8" s="21"/>
      <c r="C8" s="21"/>
      <c r="D8" s="21"/>
      <c r="E8" s="21"/>
      <c r="F8" s="21"/>
      <c r="G8" s="21"/>
      <c r="H8" s="21"/>
      <c r="I8" s="21"/>
      <c r="J8" s="21"/>
    </row>
    <row r="9" customFormat="false" ht="15" hidden="false" customHeight="true" outlineLevel="0" collapsed="false">
      <c r="A9" s="21"/>
      <c r="B9" s="21"/>
      <c r="C9" s="21"/>
      <c r="D9" s="21"/>
      <c r="E9" s="21"/>
      <c r="F9" s="21"/>
      <c r="G9" s="21"/>
      <c r="H9" s="21"/>
      <c r="I9" s="21"/>
      <c r="J9" s="21"/>
    </row>
    <row r="10" customFormat="false" ht="15" hidden="false" customHeight="true" outlineLevel="0" collapsed="false">
      <c r="A10" s="21"/>
      <c r="B10" s="21"/>
      <c r="C10" s="21"/>
      <c r="D10" s="21"/>
      <c r="E10" s="21"/>
      <c r="F10" s="21"/>
      <c r="G10" s="21"/>
      <c r="H10" s="21"/>
      <c r="I10" s="21"/>
      <c r="J10" s="21"/>
    </row>
    <row r="11" customFormat="false" ht="15" hidden="false" customHeight="true" outlineLevel="0" collapsed="false">
      <c r="A11" s="21"/>
      <c r="B11" s="21"/>
      <c r="C11" s="21"/>
      <c r="D11" s="21"/>
      <c r="E11" s="21"/>
      <c r="F11" s="21"/>
      <c r="G11" s="21"/>
      <c r="H11" s="21"/>
      <c r="I11" s="21"/>
      <c r="J11" s="21"/>
    </row>
    <row r="12" customFormat="false" ht="15" hidden="false" customHeight="true" outlineLevel="0" collapsed="false">
      <c r="A12" s="21"/>
      <c r="B12" s="21"/>
      <c r="C12" s="21"/>
      <c r="D12" s="21"/>
      <c r="E12" s="21"/>
      <c r="F12" s="21"/>
      <c r="G12" s="21"/>
      <c r="H12" s="21"/>
      <c r="I12" s="21"/>
      <c r="J12" s="21"/>
    </row>
    <row r="13" customFormat="false" ht="15" hidden="false" customHeight="true" outlineLevel="0" collapsed="false">
      <c r="A13" s="21"/>
      <c r="B13" s="21"/>
      <c r="C13" s="21"/>
      <c r="D13" s="21"/>
      <c r="E13" s="21"/>
      <c r="F13" s="21"/>
      <c r="G13" s="21"/>
      <c r="H13" s="21"/>
      <c r="I13" s="21"/>
      <c r="J13" s="21"/>
    </row>
    <row r="14" customFormat="false" ht="15" hidden="false" customHeight="true" outlineLevel="0" collapsed="false">
      <c r="A14" s="21"/>
      <c r="B14" s="21"/>
      <c r="C14" s="21"/>
      <c r="D14" s="21"/>
      <c r="E14" s="21"/>
      <c r="F14" s="21"/>
      <c r="G14" s="21"/>
      <c r="H14" s="21"/>
      <c r="I14" s="21"/>
      <c r="J14" s="21"/>
    </row>
    <row r="15" customFormat="false" ht="15" hidden="false" customHeight="true" outlineLevel="0" collapsed="false">
      <c r="A15" s="21"/>
      <c r="B15" s="21"/>
      <c r="C15" s="21"/>
      <c r="D15" s="21"/>
      <c r="E15" s="21"/>
      <c r="F15" s="21"/>
      <c r="G15" s="21"/>
      <c r="H15" s="21"/>
      <c r="I15" s="21"/>
      <c r="J15" s="21"/>
    </row>
    <row r="16" customFormat="false" ht="15" hidden="false" customHeight="true" outlineLevel="0" collapsed="false">
      <c r="A16" s="21"/>
      <c r="B16" s="21"/>
      <c r="C16" s="21"/>
      <c r="D16" s="21"/>
      <c r="E16" s="21"/>
      <c r="F16" s="21"/>
      <c r="G16" s="21"/>
      <c r="H16" s="21"/>
      <c r="I16" s="21"/>
      <c r="J16" s="21"/>
    </row>
    <row r="17" customFormat="false" ht="15" hidden="false" customHeight="true" outlineLevel="0" collapsed="false">
      <c r="A17" s="21"/>
      <c r="B17" s="21"/>
      <c r="C17" s="21"/>
      <c r="D17" s="21"/>
      <c r="E17" s="21"/>
      <c r="F17" s="21"/>
      <c r="G17" s="21"/>
      <c r="H17" s="21"/>
      <c r="I17" s="21"/>
      <c r="J17" s="21"/>
    </row>
    <row r="18" customFormat="false" ht="15" hidden="false" customHeight="true" outlineLevel="0" collapsed="false">
      <c r="A18" s="21"/>
      <c r="B18" s="21"/>
      <c r="C18" s="21"/>
      <c r="D18" s="21"/>
      <c r="E18" s="21"/>
      <c r="F18" s="21"/>
      <c r="G18" s="21"/>
      <c r="H18" s="21"/>
      <c r="I18" s="21"/>
      <c r="J18" s="21"/>
    </row>
    <row r="19" customFormat="false" ht="15" hidden="false" customHeight="true" outlineLevel="0" collapsed="false">
      <c r="A19" s="21"/>
      <c r="B19" s="21"/>
      <c r="C19" s="21"/>
      <c r="D19" s="21"/>
      <c r="E19" s="21"/>
      <c r="F19" s="21"/>
      <c r="G19" s="21"/>
      <c r="H19" s="21"/>
      <c r="I19" s="21"/>
      <c r="J19" s="21"/>
    </row>
    <row r="20" customFormat="false" ht="15" hidden="false" customHeight="true" outlineLevel="0" collapsed="false">
      <c r="A20" s="21"/>
      <c r="B20" s="21"/>
      <c r="C20" s="21"/>
      <c r="D20" s="21"/>
      <c r="E20" s="21"/>
      <c r="F20" s="21"/>
      <c r="G20" s="21"/>
      <c r="H20" s="21"/>
      <c r="I20" s="21"/>
      <c r="J20" s="21"/>
    </row>
    <row r="21" customFormat="false" ht="15" hidden="false" customHeight="true" outlineLevel="0" collapsed="false">
      <c r="A21" s="21"/>
      <c r="B21" s="21"/>
      <c r="C21" s="21"/>
      <c r="D21" s="21"/>
      <c r="E21" s="21"/>
      <c r="F21" s="21"/>
      <c r="G21" s="21"/>
      <c r="H21" s="21"/>
      <c r="I21" s="21"/>
      <c r="J21" s="21"/>
    </row>
    <row r="22" customFormat="false" ht="15" hidden="false" customHeight="true" outlineLevel="0" collapsed="false">
      <c r="A22" s="21"/>
      <c r="B22" s="21"/>
      <c r="C22" s="21"/>
      <c r="D22" s="21"/>
      <c r="E22" s="21"/>
      <c r="F22" s="21"/>
      <c r="G22" s="21"/>
      <c r="H22" s="21"/>
      <c r="I22" s="21"/>
      <c r="J22" s="21"/>
    </row>
    <row r="23" customFormat="false" ht="15" hidden="false" customHeight="true" outlineLevel="0" collapsed="false">
      <c r="A23" s="21"/>
      <c r="B23" s="21"/>
      <c r="C23" s="21"/>
      <c r="D23" s="21"/>
      <c r="E23" s="21"/>
      <c r="F23" s="21"/>
      <c r="G23" s="21"/>
      <c r="H23" s="21"/>
      <c r="I23" s="21"/>
      <c r="J23" s="21"/>
    </row>
    <row r="24" customFormat="false" ht="15" hidden="false" customHeight="true" outlineLevel="0" collapsed="false">
      <c r="A24" s="21"/>
      <c r="B24" s="21"/>
      <c r="C24" s="21"/>
      <c r="D24" s="21"/>
      <c r="E24" s="21"/>
      <c r="F24" s="21"/>
      <c r="G24" s="21"/>
      <c r="H24" s="21"/>
      <c r="I24" s="21"/>
      <c r="J24" s="21"/>
    </row>
    <row r="25" customFormat="false" ht="15" hidden="false" customHeight="true" outlineLevel="0" collapsed="false">
      <c r="A25" s="21"/>
      <c r="B25" s="21"/>
      <c r="C25" s="21"/>
      <c r="D25" s="21"/>
      <c r="E25" s="21"/>
      <c r="F25" s="21"/>
      <c r="G25" s="21"/>
      <c r="H25" s="21"/>
      <c r="I25" s="21"/>
      <c r="J25" s="21"/>
    </row>
    <row r="26" customFormat="false" ht="15" hidden="false" customHeight="true" outlineLevel="0" collapsed="false">
      <c r="A26" s="21"/>
      <c r="B26" s="21"/>
      <c r="C26" s="21"/>
      <c r="D26" s="21"/>
      <c r="E26" s="21"/>
      <c r="F26" s="21"/>
      <c r="G26" s="21"/>
      <c r="H26" s="21"/>
      <c r="I26" s="21"/>
      <c r="J26" s="21"/>
    </row>
    <row r="27" customFormat="false" ht="15" hidden="false" customHeight="true" outlineLevel="0" collapsed="false">
      <c r="A27" s="21"/>
      <c r="B27" s="21"/>
      <c r="C27" s="21"/>
      <c r="D27" s="21"/>
      <c r="E27" s="21"/>
      <c r="F27" s="21"/>
      <c r="G27" s="21"/>
      <c r="H27" s="21"/>
      <c r="I27" s="21"/>
      <c r="J27" s="21"/>
    </row>
    <row r="28" customFormat="false" ht="15" hidden="false" customHeight="true" outlineLevel="0" collapsed="false">
      <c r="A28" s="21"/>
      <c r="B28" s="21"/>
      <c r="C28" s="21"/>
      <c r="D28" s="21"/>
      <c r="E28" s="21"/>
      <c r="F28" s="21"/>
      <c r="G28" s="21"/>
      <c r="H28" s="21"/>
      <c r="I28" s="21"/>
      <c r="J28" s="21"/>
    </row>
    <row r="29" customFormat="false" ht="15" hidden="false" customHeight="true" outlineLevel="0" collapsed="false">
      <c r="A29" s="21"/>
      <c r="B29" s="21"/>
      <c r="C29" s="21"/>
      <c r="D29" s="21"/>
      <c r="E29" s="21"/>
      <c r="F29" s="21"/>
      <c r="G29" s="21"/>
      <c r="H29" s="21"/>
      <c r="I29" s="21"/>
      <c r="J29" s="21"/>
    </row>
    <row r="30" customFormat="false" ht="15" hidden="false" customHeight="true" outlineLevel="0" collapsed="false">
      <c r="A30" s="21"/>
      <c r="B30" s="21"/>
      <c r="C30" s="21"/>
      <c r="D30" s="21"/>
      <c r="E30" s="21"/>
      <c r="F30" s="21"/>
      <c r="G30" s="21"/>
      <c r="H30" s="21"/>
      <c r="I30" s="21"/>
      <c r="J30" s="21"/>
    </row>
    <row r="31" customFormat="false" ht="15" hidden="false" customHeight="true" outlineLevel="0" collapsed="false">
      <c r="A31" s="21"/>
      <c r="B31" s="21"/>
      <c r="C31" s="21"/>
      <c r="D31" s="21"/>
      <c r="E31" s="21"/>
      <c r="F31" s="21"/>
      <c r="G31" s="21"/>
      <c r="H31" s="21"/>
      <c r="I31" s="21"/>
      <c r="J31" s="21"/>
    </row>
    <row r="32" customFormat="false" ht="15" hidden="false" customHeight="true" outlineLevel="0" collapsed="false">
      <c r="A32" s="21"/>
      <c r="B32" s="21"/>
      <c r="C32" s="21"/>
      <c r="D32" s="21"/>
      <c r="E32" s="21"/>
      <c r="F32" s="21"/>
      <c r="G32" s="21"/>
      <c r="H32" s="21"/>
      <c r="I32" s="21"/>
      <c r="J32" s="21"/>
    </row>
    <row r="33" customFormat="false" ht="15" hidden="false" customHeight="true" outlineLevel="0" collapsed="false">
      <c r="A33" s="21"/>
      <c r="B33" s="21"/>
      <c r="C33" s="21"/>
      <c r="D33" s="21"/>
      <c r="E33" s="21"/>
      <c r="F33" s="21"/>
      <c r="G33" s="21"/>
      <c r="H33" s="21"/>
      <c r="I33" s="21"/>
      <c r="J33" s="21"/>
    </row>
    <row r="34" customFormat="false" ht="15" hidden="false" customHeight="true" outlineLevel="0" collapsed="false">
      <c r="A34" s="21"/>
      <c r="B34" s="21"/>
      <c r="C34" s="21"/>
      <c r="D34" s="21"/>
      <c r="E34" s="21"/>
      <c r="F34" s="21"/>
      <c r="G34" s="21"/>
      <c r="H34" s="21"/>
      <c r="I34" s="21"/>
      <c r="J34" s="21"/>
    </row>
    <row r="35" customFormat="false" ht="15" hidden="false" customHeight="true" outlineLevel="0" collapsed="false">
      <c r="A35" s="21"/>
      <c r="B35" s="21"/>
      <c r="C35" s="21"/>
      <c r="D35" s="21"/>
      <c r="E35" s="21"/>
      <c r="F35" s="21"/>
      <c r="G35" s="21"/>
      <c r="H35" s="21"/>
      <c r="I35" s="21"/>
      <c r="J35" s="21"/>
    </row>
    <row r="36" customFormat="false" ht="15" hidden="false" customHeight="true" outlineLevel="0" collapsed="false">
      <c r="A36" s="21"/>
      <c r="B36" s="21"/>
      <c r="C36" s="21"/>
      <c r="D36" s="21"/>
      <c r="E36" s="21"/>
      <c r="F36" s="21"/>
      <c r="G36" s="21"/>
      <c r="H36" s="21"/>
      <c r="I36" s="21"/>
      <c r="J36" s="21"/>
    </row>
    <row r="37" customFormat="false" ht="15" hidden="false" customHeight="true" outlineLevel="0" collapsed="false">
      <c r="A37" s="21"/>
      <c r="B37" s="21"/>
      <c r="C37" s="21"/>
      <c r="D37" s="21"/>
      <c r="E37" s="21"/>
      <c r="F37" s="21"/>
      <c r="G37" s="21"/>
      <c r="H37" s="21"/>
      <c r="I37" s="21"/>
      <c r="J37" s="21"/>
    </row>
    <row r="38" customFormat="false" ht="15" hidden="false" customHeight="true" outlineLevel="0" collapsed="false">
      <c r="A38" s="21"/>
      <c r="B38" s="21"/>
      <c r="C38" s="21"/>
      <c r="D38" s="21"/>
      <c r="E38" s="21"/>
      <c r="F38" s="21"/>
      <c r="G38" s="21"/>
      <c r="H38" s="21"/>
      <c r="I38" s="21"/>
      <c r="J38" s="21"/>
    </row>
    <row r="39" customFormat="false" ht="15" hidden="false" customHeight="true" outlineLevel="0" collapsed="false">
      <c r="A39" s="21"/>
      <c r="B39" s="21"/>
      <c r="C39" s="21"/>
      <c r="D39" s="21"/>
      <c r="E39" s="21"/>
      <c r="F39" s="21"/>
      <c r="G39" s="21"/>
      <c r="H39" s="21"/>
      <c r="I39" s="21"/>
      <c r="J39" s="21"/>
    </row>
    <row r="40" customFormat="false" ht="15" hidden="false" customHeight="true" outlineLevel="0" collapsed="false">
      <c r="A40" s="21"/>
      <c r="B40" s="21"/>
      <c r="C40" s="21"/>
      <c r="D40" s="21"/>
      <c r="E40" s="21"/>
      <c r="F40" s="21"/>
      <c r="G40" s="21"/>
      <c r="H40" s="21"/>
      <c r="I40" s="21"/>
      <c r="J40" s="21"/>
    </row>
    <row r="41" customFormat="false" ht="15" hidden="false" customHeight="true" outlineLevel="0" collapsed="false">
      <c r="A41" s="21"/>
      <c r="B41" s="21"/>
      <c r="C41" s="21"/>
      <c r="D41" s="21"/>
      <c r="E41" s="21"/>
      <c r="F41" s="21"/>
      <c r="G41" s="21"/>
      <c r="H41" s="21"/>
      <c r="I41" s="21"/>
      <c r="J41" s="21"/>
    </row>
    <row r="42" customFormat="false" ht="15" hidden="false" customHeight="true" outlineLevel="0" collapsed="false">
      <c r="A42" s="21"/>
      <c r="B42" s="21"/>
      <c r="C42" s="21"/>
      <c r="D42" s="21"/>
      <c r="E42" s="21"/>
      <c r="F42" s="21"/>
      <c r="G42" s="21"/>
      <c r="H42" s="21"/>
      <c r="I42" s="21"/>
      <c r="J42" s="21"/>
    </row>
    <row r="43" customFormat="false" ht="15" hidden="false" customHeight="true" outlineLevel="0" collapsed="false">
      <c r="A43" s="21"/>
      <c r="B43" s="21"/>
      <c r="C43" s="21"/>
      <c r="D43" s="21"/>
      <c r="E43" s="21"/>
      <c r="F43" s="21"/>
      <c r="G43" s="21"/>
      <c r="H43" s="21"/>
      <c r="I43" s="21"/>
      <c r="J43" s="21"/>
    </row>
    <row r="44" customFormat="false" ht="15" hidden="false" customHeight="true" outlineLevel="0" collapsed="false">
      <c r="A44" s="21"/>
      <c r="B44" s="21"/>
      <c r="C44" s="21"/>
      <c r="D44" s="21"/>
      <c r="E44" s="21"/>
      <c r="F44" s="21"/>
      <c r="G44" s="21"/>
      <c r="H44" s="21"/>
      <c r="I44" s="21"/>
      <c r="J44" s="21"/>
    </row>
    <row r="46" customFormat="false" ht="15" hidden="false" customHeight="true" outlineLevel="0" collapsed="false">
      <c r="A46" s="22" t="s">
        <v>583</v>
      </c>
    </row>
  </sheetData>
  <autoFilter ref="A1:J4"/>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3" min="1" style="1" width="16"/>
    <col collapsed="false" customWidth="true" hidden="false" outlineLevel="0" max="4" min="4" style="1" width="18"/>
    <col collapsed="false" customWidth="true" hidden="false" outlineLevel="0" max="5" min="5" style="1" width="60"/>
  </cols>
  <sheetData>
    <row r="1" customFormat="false" ht="31.5" hidden="false" customHeight="true" outlineLevel="0" collapsed="false">
      <c r="A1" s="5" t="s">
        <v>584</v>
      </c>
      <c r="B1" s="5" t="s">
        <v>585</v>
      </c>
      <c r="C1" s="5" t="s">
        <v>586</v>
      </c>
      <c r="D1" s="5" t="s">
        <v>587</v>
      </c>
      <c r="E1" s="5" t="s">
        <v>588</v>
      </c>
    </row>
    <row r="2" customFormat="false" ht="15" hidden="false" customHeight="true" outlineLevel="0" collapsed="false">
      <c r="A2" s="6" t="s">
        <v>589</v>
      </c>
      <c r="B2" s="7" t="n">
        <v>1</v>
      </c>
      <c r="C2" s="7" t="n">
        <v>50</v>
      </c>
      <c r="D2" s="7"/>
      <c r="E2" s="6" t="s">
        <v>590</v>
      </c>
    </row>
    <row r="3" customFormat="false" ht="15" hidden="false" customHeight="true" outlineLevel="0" collapsed="false">
      <c r="A3" s="6" t="s">
        <v>591</v>
      </c>
      <c r="B3" s="7" t="n">
        <v>50</v>
      </c>
      <c r="C3" s="7" t="n">
        <v>150</v>
      </c>
      <c r="D3" s="7" t="n">
        <v>10</v>
      </c>
      <c r="E3" s="6" t="s">
        <v>592</v>
      </c>
    </row>
    <row r="4" customFormat="false" ht="15" hidden="false" customHeight="true" outlineLevel="0" collapsed="false">
      <c r="A4" s="6" t="s">
        <v>593</v>
      </c>
      <c r="B4" s="7" t="n">
        <v>150</v>
      </c>
      <c r="C4" s="7" t="n">
        <v>225</v>
      </c>
      <c r="D4" s="7"/>
      <c r="E4" s="6" t="s">
        <v>594</v>
      </c>
    </row>
    <row r="5" customFormat="false" ht="15" hidden="false" customHeight="true" outlineLevel="0" collapsed="false">
      <c r="A5" s="6" t="s">
        <v>595</v>
      </c>
      <c r="B5" s="7" t="n">
        <v>225</v>
      </c>
      <c r="C5" s="7" t="n">
        <v>300</v>
      </c>
      <c r="D5" s="7"/>
      <c r="E5" s="6" t="s">
        <v>596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1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34"/>
    <col collapsed="false" customWidth="true" hidden="false" outlineLevel="0" max="2" min="2" style="1" width="38"/>
    <col collapsed="false" customWidth="true" hidden="false" outlineLevel="0" max="3" min="3" style="1" width="70"/>
    <col collapsed="false" customWidth="true" hidden="false" outlineLevel="0" max="4" min="4" style="1" width="18"/>
  </cols>
  <sheetData>
    <row r="1" customFormat="false" ht="31.5" hidden="false" customHeight="true" outlineLevel="0" collapsed="false">
      <c r="A1" s="5" t="s">
        <v>597</v>
      </c>
      <c r="B1" s="5" t="s">
        <v>598</v>
      </c>
      <c r="C1" s="5" t="s">
        <v>599</v>
      </c>
      <c r="D1" s="5" t="s">
        <v>600</v>
      </c>
    </row>
    <row r="2" customFormat="false" ht="23.25" hidden="false" customHeight="true" outlineLevel="0" collapsed="false">
      <c r="A2" s="16" t="s">
        <v>601</v>
      </c>
      <c r="B2" s="16" t="s">
        <v>602</v>
      </c>
      <c r="C2" s="16" t="s">
        <v>603</v>
      </c>
      <c r="D2" s="16" t="s">
        <v>604</v>
      </c>
    </row>
    <row r="3" customFormat="false" ht="23.25" hidden="false" customHeight="true" outlineLevel="0" collapsed="false">
      <c r="A3" s="16" t="s">
        <v>605</v>
      </c>
      <c r="B3" s="16" t="s">
        <v>606</v>
      </c>
      <c r="C3" s="16" t="s">
        <v>607</v>
      </c>
      <c r="D3" s="16" t="s">
        <v>604</v>
      </c>
    </row>
    <row r="4" customFormat="false" ht="23.25" hidden="false" customHeight="true" outlineLevel="0" collapsed="false">
      <c r="A4" s="16" t="s">
        <v>608</v>
      </c>
      <c r="B4" s="16" t="s">
        <v>609</v>
      </c>
      <c r="C4" s="16" t="s">
        <v>610</v>
      </c>
      <c r="D4" s="16" t="s">
        <v>604</v>
      </c>
    </row>
    <row r="5" customFormat="false" ht="23.25" hidden="false" customHeight="true" outlineLevel="0" collapsed="false">
      <c r="A5" s="16" t="s">
        <v>611</v>
      </c>
      <c r="B5" s="16" t="s">
        <v>612</v>
      </c>
      <c r="C5" s="16" t="s">
        <v>613</v>
      </c>
      <c r="D5" s="16" t="s">
        <v>604</v>
      </c>
    </row>
    <row r="6" customFormat="false" ht="23.25" hidden="false" customHeight="true" outlineLevel="0" collapsed="false">
      <c r="A6" s="16" t="s">
        <v>614</v>
      </c>
      <c r="B6" s="16" t="s">
        <v>615</v>
      </c>
      <c r="C6" s="16" t="s">
        <v>616</v>
      </c>
      <c r="D6" s="16" t="s">
        <v>604</v>
      </c>
    </row>
    <row r="7" customFormat="false" ht="15" hidden="false" customHeight="true" outlineLevel="0" collapsed="false">
      <c r="A7" s="16" t="s">
        <v>617</v>
      </c>
      <c r="B7" s="16" t="s">
        <v>618</v>
      </c>
      <c r="C7" s="16" t="s">
        <v>508</v>
      </c>
      <c r="D7" s="16" t="s">
        <v>604</v>
      </c>
    </row>
    <row r="8" customFormat="false" ht="23.25" hidden="false" customHeight="true" outlineLevel="0" collapsed="false">
      <c r="A8" s="16" t="s">
        <v>619</v>
      </c>
      <c r="B8" s="16" t="s">
        <v>620</v>
      </c>
      <c r="C8" s="16" t="s">
        <v>621</v>
      </c>
      <c r="D8" s="16" t="s">
        <v>604</v>
      </c>
    </row>
    <row r="9" customFormat="false" ht="23.25" hidden="false" customHeight="true" outlineLevel="0" collapsed="false">
      <c r="A9" s="16" t="s">
        <v>622</v>
      </c>
      <c r="B9" s="16" t="s">
        <v>623</v>
      </c>
      <c r="C9" s="16" t="s">
        <v>624</v>
      </c>
      <c r="D9" s="16" t="s">
        <v>604</v>
      </c>
    </row>
    <row r="10" customFormat="false" ht="23.25" hidden="false" customHeight="true" outlineLevel="0" collapsed="false">
      <c r="A10" s="16" t="s">
        <v>625</v>
      </c>
      <c r="B10" s="16" t="s">
        <v>626</v>
      </c>
      <c r="C10" s="16" t="s">
        <v>627</v>
      </c>
      <c r="D10" s="16" t="s">
        <v>628</v>
      </c>
    </row>
    <row r="11" customFormat="false" ht="15" hidden="false" customHeight="true" outlineLevel="0" collapsed="false">
      <c r="A11" s="16" t="s">
        <v>629</v>
      </c>
      <c r="B11" s="16" t="s">
        <v>630</v>
      </c>
      <c r="C11" s="16" t="s">
        <v>631</v>
      </c>
      <c r="D11" s="16" t="s">
        <v>628</v>
      </c>
    </row>
    <row r="12" customFormat="false" ht="15" hidden="false" customHeight="true" outlineLevel="0" collapsed="false">
      <c r="A12" s="16" t="s">
        <v>632</v>
      </c>
      <c r="B12" s="16" t="s">
        <v>633</v>
      </c>
      <c r="C12" s="16" t="s">
        <v>634</v>
      </c>
      <c r="D12" s="16" t="s">
        <v>635</v>
      </c>
    </row>
    <row r="13" customFormat="false" ht="35.05" hidden="false" customHeight="false" outlineLevel="0" collapsed="false">
      <c r="A13" s="16" t="s">
        <v>636</v>
      </c>
      <c r="B13" s="16" t="s">
        <v>637</v>
      </c>
      <c r="C13" s="16" t="s">
        <v>638</v>
      </c>
      <c r="D13" s="16" t="s">
        <v>635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2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20"/>
    <col collapsed="false" customWidth="true" hidden="false" outlineLevel="0" max="2" min="2" style="1" width="14"/>
    <col collapsed="false" customWidth="true" hidden="false" outlineLevel="0" max="3" min="3" style="1" width="32"/>
    <col collapsed="false" customWidth="true" hidden="false" outlineLevel="0" max="4" min="4" style="1" width="14"/>
    <col collapsed="false" customWidth="true" hidden="false" outlineLevel="0" max="5" min="5" style="1" width="10"/>
    <col collapsed="false" customWidth="true" hidden="false" outlineLevel="0" max="6" min="6" style="1" width="40"/>
    <col collapsed="false" customWidth="true" hidden="false" outlineLevel="0" max="7" min="7" style="1" width="14"/>
    <col collapsed="false" customWidth="true" hidden="false" outlineLevel="0" max="8" min="8" style="1" width="22"/>
    <col collapsed="false" customWidth="true" hidden="false" outlineLevel="0" max="9" min="9" style="1" width="40"/>
    <col collapsed="false" customWidth="true" hidden="false" outlineLevel="0" max="10" min="10" style="1" width="26"/>
    <col collapsed="false" customWidth="true" hidden="false" outlineLevel="0" max="11" min="11" style="1" width="14"/>
    <col collapsed="false" customWidth="true" hidden="false" outlineLevel="0" max="12" min="12" style="1" width="44"/>
  </cols>
  <sheetData>
    <row r="1" customFormat="false" ht="34.5" hidden="false" customHeight="true" outlineLevel="0" collapsed="false">
      <c r="A1" s="5" t="s">
        <v>639</v>
      </c>
      <c r="B1" s="5" t="s">
        <v>640</v>
      </c>
      <c r="C1" s="5" t="s">
        <v>641</v>
      </c>
      <c r="D1" s="5" t="s">
        <v>642</v>
      </c>
      <c r="E1" s="5" t="s">
        <v>643</v>
      </c>
      <c r="F1" s="5" t="s">
        <v>644</v>
      </c>
      <c r="G1" s="5" t="s">
        <v>645</v>
      </c>
      <c r="H1" s="5" t="s">
        <v>646</v>
      </c>
      <c r="I1" s="5" t="s">
        <v>647</v>
      </c>
      <c r="J1" s="5" t="s">
        <v>648</v>
      </c>
      <c r="K1" s="5" t="s">
        <v>649</v>
      </c>
      <c r="L1" s="5" t="s">
        <v>588</v>
      </c>
    </row>
    <row r="2" customFormat="false" ht="15" hidden="false" customHeight="true" outlineLevel="0" collapsed="false">
      <c r="A2" s="23" t="s">
        <v>556</v>
      </c>
      <c r="B2" s="23" t="n">
        <v>2118</v>
      </c>
      <c r="C2" s="23" t="s">
        <v>650</v>
      </c>
      <c r="D2" s="23" t="s">
        <v>651</v>
      </c>
      <c r="E2" s="23" t="s">
        <v>652</v>
      </c>
      <c r="F2" s="23" t="s">
        <v>653</v>
      </c>
      <c r="G2" s="23" t="s">
        <v>654</v>
      </c>
      <c r="H2" s="23" t="s">
        <v>655</v>
      </c>
      <c r="I2" s="23" t="s">
        <v>656</v>
      </c>
      <c r="J2" s="23" t="s">
        <v>657</v>
      </c>
      <c r="K2" s="23" t="s">
        <v>44</v>
      </c>
      <c r="L2" s="23" t="s">
        <v>658</v>
      </c>
    </row>
    <row r="3" customFormat="false" ht="23.25" hidden="false" customHeight="true" outlineLevel="0" collapsed="false">
      <c r="A3" s="23" t="s">
        <v>556</v>
      </c>
      <c r="B3" s="23" t="n">
        <v>2118</v>
      </c>
      <c r="C3" s="23" t="s">
        <v>650</v>
      </c>
      <c r="D3" s="23" t="s">
        <v>651</v>
      </c>
      <c r="E3" s="23" t="s">
        <v>652</v>
      </c>
      <c r="F3" s="23" t="s">
        <v>659</v>
      </c>
      <c r="G3" s="23" t="s">
        <v>654</v>
      </c>
      <c r="H3" s="23" t="s">
        <v>660</v>
      </c>
      <c r="I3" s="23" t="s">
        <v>656</v>
      </c>
      <c r="J3" s="23" t="s">
        <v>661</v>
      </c>
      <c r="K3" s="23" t="s">
        <v>49</v>
      </c>
      <c r="L3" s="23" t="s">
        <v>662</v>
      </c>
    </row>
    <row r="4" customFormat="false" ht="15" hidden="false" customHeight="true" outlineLevel="0" collapsed="false">
      <c r="A4" s="23" t="s">
        <v>556</v>
      </c>
      <c r="B4" s="23" t="n">
        <v>2118</v>
      </c>
      <c r="C4" s="23" t="s">
        <v>650</v>
      </c>
      <c r="D4" s="23" t="s">
        <v>651</v>
      </c>
      <c r="E4" s="23" t="s">
        <v>652</v>
      </c>
      <c r="F4" s="23" t="s">
        <v>663</v>
      </c>
      <c r="G4" s="23" t="s">
        <v>664</v>
      </c>
      <c r="H4" s="23" t="s">
        <v>665</v>
      </c>
      <c r="I4" s="23" t="s">
        <v>656</v>
      </c>
      <c r="J4" s="23" t="s">
        <v>666</v>
      </c>
      <c r="K4" s="23" t="s">
        <v>44</v>
      </c>
      <c r="L4" s="23" t="s">
        <v>667</v>
      </c>
    </row>
    <row r="5" customFormat="false" ht="15" hidden="false" customHeight="true" outlineLevel="0" collapsed="false">
      <c r="A5" s="23" t="s">
        <v>576</v>
      </c>
      <c r="B5" s="23"/>
      <c r="C5" s="23" t="s">
        <v>668</v>
      </c>
      <c r="D5" s="23" t="s">
        <v>669</v>
      </c>
      <c r="E5" s="23" t="s">
        <v>652</v>
      </c>
      <c r="F5" s="23" t="s">
        <v>670</v>
      </c>
      <c r="G5" s="23" t="s">
        <v>654</v>
      </c>
      <c r="H5" s="23" t="s">
        <v>671</v>
      </c>
      <c r="I5" s="23" t="s">
        <v>672</v>
      </c>
      <c r="J5" s="23" t="s">
        <v>673</v>
      </c>
      <c r="K5" s="23" t="s">
        <v>49</v>
      </c>
      <c r="L5" s="23" t="s">
        <v>674</v>
      </c>
    </row>
    <row r="6" customFormat="false" ht="15" hidden="false" customHeight="true" outlineLevel="0" collapsed="false">
      <c r="A6" s="23" t="s">
        <v>576</v>
      </c>
      <c r="B6" s="23"/>
      <c r="C6" s="23" t="s">
        <v>668</v>
      </c>
      <c r="D6" s="23" t="s">
        <v>669</v>
      </c>
      <c r="E6" s="23" t="s">
        <v>652</v>
      </c>
      <c r="F6" s="23" t="s">
        <v>653</v>
      </c>
      <c r="G6" s="23" t="s">
        <v>654</v>
      </c>
      <c r="H6" s="23" t="s">
        <v>655</v>
      </c>
      <c r="I6" s="23" t="s">
        <v>672</v>
      </c>
      <c r="J6" s="23" t="s">
        <v>657</v>
      </c>
      <c r="K6" s="23" t="s">
        <v>49</v>
      </c>
      <c r="L6" s="23" t="s">
        <v>674</v>
      </c>
    </row>
    <row r="7" customFormat="false" ht="15" hidden="false" customHeight="true" outlineLevel="0" collapsed="false">
      <c r="A7" s="23" t="s">
        <v>576</v>
      </c>
      <c r="B7" s="23"/>
      <c r="C7" s="23" t="s">
        <v>668</v>
      </c>
      <c r="D7" s="23" t="s">
        <v>669</v>
      </c>
      <c r="E7" s="23" t="s">
        <v>652</v>
      </c>
      <c r="F7" s="23" t="s">
        <v>675</v>
      </c>
      <c r="G7" s="23" t="s">
        <v>654</v>
      </c>
      <c r="H7" s="23" t="s">
        <v>676</v>
      </c>
      <c r="I7" s="23" t="s">
        <v>672</v>
      </c>
      <c r="J7" s="23" t="s">
        <v>657</v>
      </c>
      <c r="K7" s="23" t="s">
        <v>49</v>
      </c>
      <c r="L7" s="23" t="s">
        <v>674</v>
      </c>
    </row>
    <row r="8" customFormat="false" ht="15" hidden="false" customHeight="true" outlineLevel="0" collapsed="false">
      <c r="A8" s="23" t="s">
        <v>576</v>
      </c>
      <c r="B8" s="23"/>
      <c r="C8" s="23" t="s">
        <v>668</v>
      </c>
      <c r="D8" s="23" t="s">
        <v>669</v>
      </c>
      <c r="E8" s="23" t="s">
        <v>652</v>
      </c>
      <c r="F8" s="23" t="s">
        <v>677</v>
      </c>
      <c r="G8" s="23" t="s">
        <v>664</v>
      </c>
      <c r="H8" s="23" t="s">
        <v>678</v>
      </c>
      <c r="I8" s="23" t="s">
        <v>672</v>
      </c>
      <c r="J8" s="23" t="s">
        <v>666</v>
      </c>
      <c r="K8" s="23" t="s">
        <v>49</v>
      </c>
      <c r="L8" s="23" t="s">
        <v>679</v>
      </c>
    </row>
    <row r="9" customFormat="false" ht="15" hidden="false" customHeight="true" outlineLevel="0" collapsed="false">
      <c r="A9" s="23" t="s">
        <v>564</v>
      </c>
      <c r="B9" s="23" t="n">
        <v>4561</v>
      </c>
      <c r="C9" s="23" t="s">
        <v>680</v>
      </c>
      <c r="D9" s="23" t="s">
        <v>681</v>
      </c>
      <c r="E9" s="23" t="s">
        <v>652</v>
      </c>
      <c r="F9" s="23" t="s">
        <v>670</v>
      </c>
      <c r="G9" s="23" t="s">
        <v>654</v>
      </c>
      <c r="H9" s="23" t="s">
        <v>671</v>
      </c>
      <c r="I9" s="23" t="s">
        <v>682</v>
      </c>
      <c r="J9" s="23" t="s">
        <v>673</v>
      </c>
      <c r="K9" s="23" t="s">
        <v>44</v>
      </c>
      <c r="L9" s="23" t="s">
        <v>683</v>
      </c>
    </row>
    <row r="10" customFormat="false" ht="15" hidden="false" customHeight="true" outlineLevel="0" collapsed="false">
      <c r="A10" s="23" t="s">
        <v>564</v>
      </c>
      <c r="B10" s="23" t="n">
        <v>4561</v>
      </c>
      <c r="C10" s="23" t="s">
        <v>680</v>
      </c>
      <c r="D10" s="23" t="s">
        <v>681</v>
      </c>
      <c r="E10" s="23" t="s">
        <v>652</v>
      </c>
      <c r="F10" s="23" t="s">
        <v>684</v>
      </c>
      <c r="G10" s="23" t="s">
        <v>654</v>
      </c>
      <c r="H10" s="23" t="s">
        <v>685</v>
      </c>
      <c r="I10" s="23" t="s">
        <v>682</v>
      </c>
      <c r="J10" s="23" t="s">
        <v>673</v>
      </c>
      <c r="K10" s="23" t="s">
        <v>44</v>
      </c>
      <c r="L10" s="23" t="s">
        <v>686</v>
      </c>
    </row>
    <row r="11" customFormat="false" ht="15" hidden="false" customHeight="true" outlineLevel="0" collapsed="false">
      <c r="A11" s="23" t="s">
        <v>563</v>
      </c>
      <c r="B11" s="23" t="n">
        <v>4775</v>
      </c>
      <c r="C11" s="23" t="s">
        <v>680</v>
      </c>
      <c r="D11" s="23" t="s">
        <v>681</v>
      </c>
      <c r="E11" s="23" t="s">
        <v>652</v>
      </c>
      <c r="F11" s="23" t="s">
        <v>670</v>
      </c>
      <c r="G11" s="23" t="s">
        <v>654</v>
      </c>
      <c r="H11" s="23" t="s">
        <v>687</v>
      </c>
      <c r="I11" s="23" t="s">
        <v>688</v>
      </c>
      <c r="J11" s="23" t="s">
        <v>673</v>
      </c>
      <c r="K11" s="23" t="s">
        <v>44</v>
      </c>
      <c r="L11" s="23" t="s">
        <v>689</v>
      </c>
    </row>
    <row r="12" customFormat="false" ht="15" hidden="false" customHeight="true" outlineLevel="0" collapsed="false">
      <c r="A12" s="23" t="s">
        <v>563</v>
      </c>
      <c r="B12" s="23" t="n">
        <v>4775</v>
      </c>
      <c r="C12" s="23" t="s">
        <v>680</v>
      </c>
      <c r="D12" s="23" t="s">
        <v>681</v>
      </c>
      <c r="E12" s="23" t="s">
        <v>652</v>
      </c>
      <c r="F12" s="23" t="s">
        <v>684</v>
      </c>
      <c r="G12" s="23" t="s">
        <v>654</v>
      </c>
      <c r="H12" s="23" t="s">
        <v>690</v>
      </c>
      <c r="I12" s="23" t="s">
        <v>688</v>
      </c>
      <c r="J12" s="23" t="s">
        <v>673</v>
      </c>
      <c r="K12" s="23" t="s">
        <v>44</v>
      </c>
      <c r="L12" s="23" t="s">
        <v>686</v>
      </c>
    </row>
    <row r="13" customFormat="false" ht="15" hidden="false" customHeight="true" outlineLevel="0" collapsed="false">
      <c r="A13" s="23" t="s">
        <v>691</v>
      </c>
      <c r="B13" s="23" t="n">
        <v>4553</v>
      </c>
      <c r="C13" s="23" t="s">
        <v>680</v>
      </c>
      <c r="D13" s="23" t="s">
        <v>681</v>
      </c>
      <c r="E13" s="23" t="s">
        <v>652</v>
      </c>
      <c r="F13" s="23" t="s">
        <v>670</v>
      </c>
      <c r="G13" s="23" t="s">
        <v>654</v>
      </c>
      <c r="H13" s="23" t="s">
        <v>671</v>
      </c>
      <c r="I13" s="23" t="s">
        <v>692</v>
      </c>
      <c r="J13" s="23" t="s">
        <v>673</v>
      </c>
      <c r="K13" s="23" t="s">
        <v>49</v>
      </c>
      <c r="L13" s="23" t="s">
        <v>693</v>
      </c>
    </row>
    <row r="14" customFormat="false" ht="15" hidden="false" customHeight="true" outlineLevel="0" collapsed="false">
      <c r="A14" s="23" t="s">
        <v>691</v>
      </c>
      <c r="B14" s="23" t="n">
        <v>4553</v>
      </c>
      <c r="C14" s="23" t="s">
        <v>680</v>
      </c>
      <c r="D14" s="23" t="s">
        <v>681</v>
      </c>
      <c r="E14" s="23" t="s">
        <v>652</v>
      </c>
      <c r="F14" s="23" t="s">
        <v>684</v>
      </c>
      <c r="G14" s="23" t="s">
        <v>654</v>
      </c>
      <c r="H14" s="23" t="s">
        <v>685</v>
      </c>
      <c r="I14" s="23" t="s">
        <v>692</v>
      </c>
      <c r="J14" s="23" t="s">
        <v>673</v>
      </c>
      <c r="K14" s="23" t="s">
        <v>49</v>
      </c>
      <c r="L14" s="23" t="s">
        <v>674</v>
      </c>
    </row>
    <row r="15" customFormat="false" ht="23.25" hidden="false" customHeight="true" outlineLevel="0" collapsed="false">
      <c r="A15" s="23" t="s">
        <v>691</v>
      </c>
      <c r="B15" s="23" t="n">
        <v>4553</v>
      </c>
      <c r="C15" s="23" t="s">
        <v>680</v>
      </c>
      <c r="D15" s="23" t="s">
        <v>681</v>
      </c>
      <c r="E15" s="23" t="s">
        <v>652</v>
      </c>
      <c r="F15" s="23" t="s">
        <v>694</v>
      </c>
      <c r="G15" s="23" t="s">
        <v>654</v>
      </c>
      <c r="H15" s="23" t="s">
        <v>695</v>
      </c>
      <c r="I15" s="23" t="s">
        <v>692</v>
      </c>
      <c r="J15" s="23" t="s">
        <v>657</v>
      </c>
      <c r="K15" s="23" t="s">
        <v>49</v>
      </c>
      <c r="L15" s="23" t="s">
        <v>696</v>
      </c>
    </row>
    <row r="16" customFormat="false" ht="34.5" hidden="false" customHeight="true" outlineLevel="0" collapsed="false">
      <c r="A16" s="23" t="s">
        <v>561</v>
      </c>
      <c r="B16" s="23" t="n">
        <v>4555</v>
      </c>
      <c r="C16" s="23" t="s">
        <v>680</v>
      </c>
      <c r="D16" s="23" t="s">
        <v>681</v>
      </c>
      <c r="E16" s="23" t="s">
        <v>652</v>
      </c>
      <c r="F16" s="23" t="s">
        <v>697</v>
      </c>
      <c r="G16" s="23" t="s">
        <v>654</v>
      </c>
      <c r="H16" s="23" t="s">
        <v>698</v>
      </c>
      <c r="I16" s="23" t="s">
        <v>699</v>
      </c>
      <c r="J16" s="23" t="s">
        <v>666</v>
      </c>
      <c r="K16" s="23" t="s">
        <v>44</v>
      </c>
      <c r="L16" s="23" t="s">
        <v>700</v>
      </c>
    </row>
    <row r="17" customFormat="false" ht="15" hidden="false" customHeight="true" outlineLevel="0" collapsed="false">
      <c r="A17" s="23" t="s">
        <v>561</v>
      </c>
      <c r="B17" s="23" t="n">
        <v>4555</v>
      </c>
      <c r="C17" s="23" t="s">
        <v>680</v>
      </c>
      <c r="D17" s="23" t="s">
        <v>681</v>
      </c>
      <c r="E17" s="23" t="s">
        <v>652</v>
      </c>
      <c r="F17" s="23" t="s">
        <v>701</v>
      </c>
      <c r="G17" s="23" t="s">
        <v>654</v>
      </c>
      <c r="H17" s="23" t="s">
        <v>702</v>
      </c>
      <c r="I17" s="23" t="s">
        <v>699</v>
      </c>
      <c r="J17" s="23" t="s">
        <v>666</v>
      </c>
      <c r="K17" s="23" t="s">
        <v>44</v>
      </c>
      <c r="L17" s="23" t="s">
        <v>686</v>
      </c>
    </row>
    <row r="18" customFormat="false" ht="15" hidden="false" customHeight="true" outlineLevel="0" collapsed="false">
      <c r="A18" s="23" t="s">
        <v>561</v>
      </c>
      <c r="B18" s="23" t="n">
        <v>4555</v>
      </c>
      <c r="C18" s="23" t="s">
        <v>680</v>
      </c>
      <c r="D18" s="23" t="s">
        <v>681</v>
      </c>
      <c r="E18" s="23" t="s">
        <v>652</v>
      </c>
      <c r="F18" s="23" t="s">
        <v>703</v>
      </c>
      <c r="G18" s="23" t="s">
        <v>654</v>
      </c>
      <c r="H18" s="23" t="s">
        <v>704</v>
      </c>
      <c r="I18" s="23" t="s">
        <v>699</v>
      </c>
      <c r="J18" s="23" t="s">
        <v>705</v>
      </c>
      <c r="K18" s="23" t="s">
        <v>44</v>
      </c>
      <c r="L18" s="23" t="s">
        <v>706</v>
      </c>
    </row>
    <row r="19" customFormat="false" ht="23.25" hidden="false" customHeight="true" outlineLevel="0" collapsed="false">
      <c r="A19" s="23" t="s">
        <v>562</v>
      </c>
      <c r="B19" s="23" t="n">
        <v>4617</v>
      </c>
      <c r="C19" s="23" t="s">
        <v>707</v>
      </c>
      <c r="D19" s="23" t="s">
        <v>681</v>
      </c>
      <c r="E19" s="23" t="s">
        <v>652</v>
      </c>
      <c r="F19" s="23" t="s">
        <v>708</v>
      </c>
      <c r="G19" s="23" t="s">
        <v>654</v>
      </c>
      <c r="H19" s="23" t="s">
        <v>709</v>
      </c>
      <c r="I19" s="23" t="s">
        <v>710</v>
      </c>
      <c r="J19" s="23" t="s">
        <v>711</v>
      </c>
      <c r="K19" s="23" t="s">
        <v>44</v>
      </c>
      <c r="L19" s="23" t="s">
        <v>712</v>
      </c>
    </row>
    <row r="20" customFormat="false" ht="34.5" hidden="false" customHeight="true" outlineLevel="0" collapsed="false">
      <c r="A20" s="23" t="s">
        <v>713</v>
      </c>
      <c r="B20" s="23"/>
      <c r="C20" s="23" t="s">
        <v>560</v>
      </c>
      <c r="D20" s="23" t="s">
        <v>714</v>
      </c>
      <c r="E20" s="23" t="s">
        <v>652</v>
      </c>
      <c r="F20" s="23" t="s">
        <v>715</v>
      </c>
      <c r="G20" s="23" t="s">
        <v>654</v>
      </c>
      <c r="H20" s="23" t="s">
        <v>698</v>
      </c>
      <c r="I20" s="23" t="s">
        <v>716</v>
      </c>
      <c r="J20" s="23" t="s">
        <v>657</v>
      </c>
      <c r="K20" s="23" t="s">
        <v>49</v>
      </c>
      <c r="L20" s="23" t="s">
        <v>717</v>
      </c>
    </row>
    <row r="21" customFormat="false" ht="23.25" hidden="false" customHeight="true" outlineLevel="0" collapsed="false">
      <c r="A21" s="23" t="s">
        <v>573</v>
      </c>
      <c r="B21" s="23" t="n">
        <v>3550</v>
      </c>
      <c r="C21" s="23" t="s">
        <v>718</v>
      </c>
      <c r="D21" s="23" t="s">
        <v>719</v>
      </c>
      <c r="E21" s="23" t="s">
        <v>652</v>
      </c>
      <c r="F21" s="23" t="s">
        <v>720</v>
      </c>
      <c r="G21" s="23" t="s">
        <v>664</v>
      </c>
      <c r="H21" s="23" t="s">
        <v>671</v>
      </c>
      <c r="I21" s="23" t="s">
        <v>721</v>
      </c>
      <c r="J21" s="23" t="s">
        <v>722</v>
      </c>
      <c r="K21" s="23" t="s">
        <v>44</v>
      </c>
      <c r="L21" s="23" t="s">
        <v>723</v>
      </c>
    </row>
    <row r="22" customFormat="false" ht="23.25" hidden="false" customHeight="true" outlineLevel="0" collapsed="false">
      <c r="A22" s="23" t="s">
        <v>573</v>
      </c>
      <c r="B22" s="23" t="n">
        <v>3550</v>
      </c>
      <c r="C22" s="23" t="s">
        <v>718</v>
      </c>
      <c r="D22" s="23" t="s">
        <v>719</v>
      </c>
      <c r="E22" s="23" t="s">
        <v>652</v>
      </c>
      <c r="F22" s="23" t="s">
        <v>724</v>
      </c>
      <c r="G22" s="23" t="s">
        <v>664</v>
      </c>
      <c r="H22" s="23" t="s">
        <v>671</v>
      </c>
      <c r="I22" s="23" t="s">
        <v>721</v>
      </c>
      <c r="J22" s="23" t="s">
        <v>722</v>
      </c>
      <c r="K22" s="23" t="s">
        <v>44</v>
      </c>
      <c r="L22" s="23" t="s">
        <v>725</v>
      </c>
    </row>
    <row r="23" customFormat="false" ht="23.25" hidden="false" customHeight="true" outlineLevel="0" collapsed="false">
      <c r="A23" s="23" t="s">
        <v>573</v>
      </c>
      <c r="B23" s="23" t="n">
        <v>3550</v>
      </c>
      <c r="C23" s="23" t="s">
        <v>718</v>
      </c>
      <c r="D23" s="23" t="s">
        <v>719</v>
      </c>
      <c r="E23" s="23" t="s">
        <v>652</v>
      </c>
      <c r="F23" s="23" t="s">
        <v>726</v>
      </c>
      <c r="G23" s="23" t="s">
        <v>727</v>
      </c>
      <c r="H23" s="23" t="s">
        <v>704</v>
      </c>
      <c r="I23" s="23" t="s">
        <v>721</v>
      </c>
      <c r="J23" s="23" t="s">
        <v>705</v>
      </c>
      <c r="K23" s="23" t="s">
        <v>44</v>
      </c>
      <c r="L23" s="23" t="s">
        <v>728</v>
      </c>
    </row>
    <row r="24" customFormat="false" ht="34.5" hidden="false" customHeight="true" outlineLevel="0" collapsed="false">
      <c r="A24" s="23" t="s">
        <v>729</v>
      </c>
      <c r="B24" s="23" t="n">
        <v>3400</v>
      </c>
      <c r="C24" s="23" t="s">
        <v>730</v>
      </c>
      <c r="D24" s="23" t="s">
        <v>681</v>
      </c>
      <c r="E24" s="23" t="s">
        <v>652</v>
      </c>
      <c r="F24" s="23" t="s">
        <v>731</v>
      </c>
      <c r="G24" s="23" t="s">
        <v>732</v>
      </c>
      <c r="H24" s="23" t="s">
        <v>733</v>
      </c>
      <c r="I24" s="23" t="s">
        <v>734</v>
      </c>
      <c r="J24" s="23" t="s">
        <v>735</v>
      </c>
      <c r="K24" s="23" t="s">
        <v>49</v>
      </c>
      <c r="L24" s="23" t="s">
        <v>674</v>
      </c>
    </row>
    <row r="25" customFormat="false" ht="15" hidden="false" customHeight="true" outlineLevel="0" collapsed="false">
      <c r="A25" s="23" t="s">
        <v>736</v>
      </c>
      <c r="B25" s="23"/>
      <c r="C25" s="23" t="s">
        <v>737</v>
      </c>
      <c r="D25" s="23" t="s">
        <v>738</v>
      </c>
      <c r="E25" s="23" t="s">
        <v>652</v>
      </c>
      <c r="F25" s="23" t="s">
        <v>739</v>
      </c>
      <c r="G25" s="23" t="s">
        <v>664</v>
      </c>
      <c r="H25" s="23" t="s">
        <v>740</v>
      </c>
      <c r="I25" s="23" t="s">
        <v>741</v>
      </c>
      <c r="J25" s="23" t="s">
        <v>673</v>
      </c>
      <c r="K25" s="23" t="s">
        <v>49</v>
      </c>
      <c r="L25" s="23" t="s">
        <v>742</v>
      </c>
    </row>
    <row r="26" customFormat="false" ht="15" hidden="false" customHeight="true" outlineLevel="0" collapsed="false">
      <c r="A26" s="23" t="s">
        <v>736</v>
      </c>
      <c r="B26" s="23"/>
      <c r="C26" s="23" t="s">
        <v>737</v>
      </c>
      <c r="D26" s="23" t="s">
        <v>738</v>
      </c>
      <c r="E26" s="23" t="s">
        <v>652</v>
      </c>
      <c r="F26" s="23" t="s">
        <v>743</v>
      </c>
      <c r="G26" s="23" t="s">
        <v>654</v>
      </c>
      <c r="H26" s="23" t="s">
        <v>744</v>
      </c>
      <c r="I26" s="23" t="s">
        <v>741</v>
      </c>
      <c r="J26" s="23" t="s">
        <v>673</v>
      </c>
      <c r="K26" s="23" t="s">
        <v>49</v>
      </c>
      <c r="L26" s="23" t="s">
        <v>674</v>
      </c>
    </row>
  </sheetData>
  <autoFilter ref="A1:L26"/>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2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28"/>
    <col collapsed="false" customWidth="true" hidden="false" outlineLevel="0" max="2" min="2" style="1" width="12"/>
    <col collapsed="false" customWidth="true" hidden="false" outlineLevel="0" max="4" min="3" style="1" width="34"/>
    <col collapsed="false" customWidth="true" hidden="false" outlineLevel="0" max="5" min="5" style="1" width="14"/>
    <col collapsed="false" customWidth="true" hidden="false" outlineLevel="0" max="6" min="6" style="1" width="16"/>
    <col collapsed="false" customWidth="true" hidden="false" outlineLevel="0" max="7" min="7" style="1" width="12"/>
    <col collapsed="false" customWidth="true" hidden="false" outlineLevel="0" max="8" min="8" style="1" width="40"/>
  </cols>
  <sheetData>
    <row r="1" customFormat="false" ht="34.5" hidden="false" customHeight="true" outlineLevel="0" collapsed="false">
      <c r="A1" s="5" t="s">
        <v>745</v>
      </c>
      <c r="B1" s="5" t="s">
        <v>746</v>
      </c>
      <c r="C1" s="5" t="s">
        <v>549</v>
      </c>
      <c r="D1" s="5" t="s">
        <v>641</v>
      </c>
      <c r="E1" s="5" t="s">
        <v>747</v>
      </c>
      <c r="F1" s="5" t="s">
        <v>643</v>
      </c>
      <c r="G1" s="5" t="s">
        <v>748</v>
      </c>
      <c r="H1" s="5" t="s">
        <v>647</v>
      </c>
    </row>
    <row r="2" customFormat="false" ht="15" hidden="false" customHeight="true" outlineLevel="0" collapsed="false">
      <c r="A2" s="23" t="s">
        <v>749</v>
      </c>
      <c r="B2" s="23" t="s">
        <v>750</v>
      </c>
      <c r="C2" s="23" t="s">
        <v>573</v>
      </c>
      <c r="D2" s="23" t="s">
        <v>555</v>
      </c>
      <c r="E2" s="23" t="s">
        <v>719</v>
      </c>
      <c r="F2" s="23" t="s">
        <v>652</v>
      </c>
      <c r="G2" s="23" t="s">
        <v>671</v>
      </c>
      <c r="H2" s="23" t="s">
        <v>721</v>
      </c>
    </row>
    <row r="3" customFormat="false" ht="15" hidden="false" customHeight="true" outlineLevel="0" collapsed="false">
      <c r="A3" s="23" t="s">
        <v>751</v>
      </c>
      <c r="B3" s="23" t="s">
        <v>750</v>
      </c>
      <c r="C3" s="23" t="s">
        <v>573</v>
      </c>
      <c r="D3" s="23" t="s">
        <v>555</v>
      </c>
      <c r="E3" s="23" t="s">
        <v>719</v>
      </c>
      <c r="F3" s="23" t="s">
        <v>652</v>
      </c>
      <c r="G3" s="23" t="s">
        <v>671</v>
      </c>
      <c r="H3" s="23" t="s">
        <v>721</v>
      </c>
    </row>
    <row r="4" customFormat="false" ht="23.25" hidden="false" customHeight="true" outlineLevel="0" collapsed="false">
      <c r="A4" s="23" t="s">
        <v>752</v>
      </c>
      <c r="B4" s="23" t="s">
        <v>753</v>
      </c>
      <c r="C4" s="23" t="s">
        <v>754</v>
      </c>
      <c r="D4" s="23" t="s">
        <v>755</v>
      </c>
      <c r="E4" s="23" t="s">
        <v>681</v>
      </c>
      <c r="F4" s="23" t="s">
        <v>652</v>
      </c>
      <c r="G4" s="23" t="s">
        <v>756</v>
      </c>
      <c r="H4" s="23" t="s">
        <v>627</v>
      </c>
    </row>
    <row r="5" customFormat="false" ht="23.25" hidden="false" customHeight="true" outlineLevel="0" collapsed="false">
      <c r="A5" s="23" t="s">
        <v>757</v>
      </c>
      <c r="B5" s="23" t="s">
        <v>758</v>
      </c>
      <c r="C5" s="23" t="s">
        <v>759</v>
      </c>
      <c r="D5" s="23" t="s">
        <v>760</v>
      </c>
      <c r="E5" s="23" t="s">
        <v>681</v>
      </c>
      <c r="F5" s="23" t="s">
        <v>652</v>
      </c>
      <c r="G5" s="23" t="s">
        <v>761</v>
      </c>
      <c r="H5" s="23" t="s">
        <v>627</v>
      </c>
    </row>
    <row r="6" customFormat="false" ht="23.25" hidden="false" customHeight="true" outlineLevel="0" collapsed="false">
      <c r="A6" s="23" t="s">
        <v>762</v>
      </c>
      <c r="B6" s="23" t="s">
        <v>763</v>
      </c>
      <c r="C6" s="23" t="s">
        <v>764</v>
      </c>
      <c r="D6" s="23" t="s">
        <v>765</v>
      </c>
      <c r="E6" s="23" t="s">
        <v>681</v>
      </c>
      <c r="F6" s="23" t="s">
        <v>652</v>
      </c>
      <c r="G6" s="23" t="s">
        <v>766</v>
      </c>
      <c r="H6" s="23" t="s">
        <v>627</v>
      </c>
    </row>
    <row r="7" customFormat="false" ht="23.25" hidden="false" customHeight="true" outlineLevel="0" collapsed="false">
      <c r="A7" s="23" t="s">
        <v>767</v>
      </c>
      <c r="B7" s="23" t="s">
        <v>763</v>
      </c>
      <c r="C7" s="23" t="s">
        <v>768</v>
      </c>
      <c r="D7" s="23" t="s">
        <v>769</v>
      </c>
      <c r="E7" s="23" t="s">
        <v>770</v>
      </c>
      <c r="F7" s="23" t="s">
        <v>652</v>
      </c>
      <c r="G7" s="23" t="s">
        <v>771</v>
      </c>
      <c r="H7" s="23" t="s">
        <v>627</v>
      </c>
    </row>
    <row r="8" customFormat="false" ht="23.25" hidden="false" customHeight="true" outlineLevel="0" collapsed="false">
      <c r="A8" s="23" t="s">
        <v>772</v>
      </c>
      <c r="B8" s="23" t="s">
        <v>773</v>
      </c>
      <c r="C8" s="23" t="s">
        <v>764</v>
      </c>
      <c r="D8" s="23" t="s">
        <v>765</v>
      </c>
      <c r="E8" s="23" t="s">
        <v>681</v>
      </c>
      <c r="F8" s="23" t="s">
        <v>652</v>
      </c>
      <c r="G8" s="23" t="s">
        <v>766</v>
      </c>
      <c r="H8" s="23" t="s">
        <v>627</v>
      </c>
    </row>
    <row r="9" customFormat="false" ht="23.25" hidden="false" customHeight="true" outlineLevel="0" collapsed="false">
      <c r="A9" s="23" t="s">
        <v>774</v>
      </c>
      <c r="B9" s="23" t="s">
        <v>775</v>
      </c>
      <c r="C9" s="23" t="s">
        <v>768</v>
      </c>
      <c r="D9" s="23" t="s">
        <v>769</v>
      </c>
      <c r="E9" s="23" t="s">
        <v>770</v>
      </c>
      <c r="F9" s="23" t="s">
        <v>652</v>
      </c>
      <c r="G9" s="23" t="s">
        <v>766</v>
      </c>
      <c r="H9" s="23" t="s">
        <v>776</v>
      </c>
    </row>
    <row r="10" customFormat="false" ht="23.25" hidden="false" customHeight="true" outlineLevel="0" collapsed="false">
      <c r="A10" s="23" t="s">
        <v>777</v>
      </c>
      <c r="B10" s="23" t="s">
        <v>778</v>
      </c>
      <c r="C10" s="23" t="s">
        <v>779</v>
      </c>
      <c r="D10" s="23" t="s">
        <v>769</v>
      </c>
      <c r="E10" s="23" t="s">
        <v>780</v>
      </c>
      <c r="F10" s="23" t="s">
        <v>652</v>
      </c>
      <c r="G10" s="23" t="s">
        <v>781</v>
      </c>
      <c r="H10" s="23" t="s">
        <v>776</v>
      </c>
    </row>
    <row r="11" customFormat="false" ht="23.25" hidden="false" customHeight="true" outlineLevel="0" collapsed="false">
      <c r="A11" s="23" t="s">
        <v>782</v>
      </c>
      <c r="B11" s="23" t="s">
        <v>778</v>
      </c>
      <c r="C11" s="23" t="s">
        <v>779</v>
      </c>
      <c r="D11" s="23" t="s">
        <v>769</v>
      </c>
      <c r="E11" s="23" t="s">
        <v>780</v>
      </c>
      <c r="F11" s="23" t="s">
        <v>652</v>
      </c>
      <c r="G11" s="23" t="s">
        <v>783</v>
      </c>
      <c r="H11" s="23" t="s">
        <v>776</v>
      </c>
    </row>
    <row r="12" customFormat="false" ht="23.25" hidden="false" customHeight="true" outlineLevel="0" collapsed="false">
      <c r="A12" s="23" t="s">
        <v>784</v>
      </c>
      <c r="B12" s="23" t="s">
        <v>785</v>
      </c>
      <c r="C12" s="23" t="s">
        <v>786</v>
      </c>
      <c r="D12" s="23" t="s">
        <v>787</v>
      </c>
      <c r="E12" s="23" t="s">
        <v>788</v>
      </c>
      <c r="F12" s="23" t="s">
        <v>652</v>
      </c>
      <c r="G12" s="23" t="s">
        <v>781</v>
      </c>
      <c r="H12" s="23" t="s">
        <v>776</v>
      </c>
    </row>
    <row r="13" customFormat="false" ht="23.25" hidden="false" customHeight="true" outlineLevel="0" collapsed="false">
      <c r="A13" s="23" t="s">
        <v>789</v>
      </c>
      <c r="B13" s="23" t="s">
        <v>790</v>
      </c>
      <c r="C13" s="23" t="s">
        <v>791</v>
      </c>
      <c r="D13" s="23" t="s">
        <v>792</v>
      </c>
      <c r="E13" s="23" t="s">
        <v>681</v>
      </c>
      <c r="F13" s="23" t="s">
        <v>652</v>
      </c>
      <c r="G13" s="23" t="s">
        <v>781</v>
      </c>
      <c r="H13" s="23" t="s">
        <v>776</v>
      </c>
    </row>
    <row r="14" customFormat="false" ht="23.25" hidden="false" customHeight="true" outlineLevel="0" collapsed="false">
      <c r="A14" s="23" t="s">
        <v>793</v>
      </c>
      <c r="B14" s="23" t="s">
        <v>790</v>
      </c>
      <c r="C14" s="23" t="s">
        <v>794</v>
      </c>
      <c r="D14" s="23" t="s">
        <v>795</v>
      </c>
      <c r="E14" s="23" t="s">
        <v>681</v>
      </c>
      <c r="F14" s="23" t="s">
        <v>796</v>
      </c>
      <c r="G14" s="23" t="s">
        <v>781</v>
      </c>
      <c r="H14" s="23" t="s">
        <v>627</v>
      </c>
    </row>
    <row r="15" customFormat="false" ht="23.25" hidden="false" customHeight="true" outlineLevel="0" collapsed="false">
      <c r="A15" s="23" t="s">
        <v>797</v>
      </c>
      <c r="B15" s="23" t="s">
        <v>798</v>
      </c>
      <c r="C15" s="23" t="s">
        <v>799</v>
      </c>
      <c r="D15" s="23" t="s">
        <v>800</v>
      </c>
      <c r="E15" s="23" t="s">
        <v>681</v>
      </c>
      <c r="F15" s="23" t="s">
        <v>801</v>
      </c>
      <c r="G15" s="23" t="s">
        <v>802</v>
      </c>
      <c r="H15" s="23" t="s">
        <v>627</v>
      </c>
    </row>
    <row r="16" customFormat="false" ht="23.25" hidden="false" customHeight="true" outlineLevel="0" collapsed="false">
      <c r="A16" s="23" t="s">
        <v>803</v>
      </c>
      <c r="B16" s="23" t="s">
        <v>804</v>
      </c>
      <c r="C16" s="23" t="s">
        <v>786</v>
      </c>
      <c r="D16" s="23" t="s">
        <v>805</v>
      </c>
      <c r="E16" s="23" t="s">
        <v>788</v>
      </c>
      <c r="F16" s="23" t="s">
        <v>652</v>
      </c>
      <c r="G16" s="23" t="s">
        <v>802</v>
      </c>
      <c r="H16" s="23" t="s">
        <v>806</v>
      </c>
    </row>
    <row r="17" customFormat="false" ht="23.25" hidden="false" customHeight="true" outlineLevel="0" collapsed="false">
      <c r="A17" s="23" t="s">
        <v>807</v>
      </c>
      <c r="B17" s="23" t="s">
        <v>804</v>
      </c>
      <c r="C17" s="23" t="s">
        <v>808</v>
      </c>
      <c r="D17" s="23" t="s">
        <v>809</v>
      </c>
      <c r="E17" s="23" t="s">
        <v>681</v>
      </c>
      <c r="F17" s="23" t="s">
        <v>652</v>
      </c>
      <c r="G17" s="23" t="s">
        <v>810</v>
      </c>
      <c r="H17" s="23" t="s">
        <v>811</v>
      </c>
    </row>
    <row r="18" customFormat="false" ht="15" hidden="false" customHeight="true" outlineLevel="0" collapsed="false">
      <c r="A18" s="23" t="s">
        <v>812</v>
      </c>
      <c r="B18" s="23" t="s">
        <v>804</v>
      </c>
      <c r="C18" s="23" t="s">
        <v>580</v>
      </c>
      <c r="D18" s="23" t="s">
        <v>813</v>
      </c>
      <c r="E18" s="23" t="s">
        <v>814</v>
      </c>
      <c r="F18" s="23" t="s">
        <v>796</v>
      </c>
      <c r="G18" s="23" t="s">
        <v>802</v>
      </c>
      <c r="H18" s="23" t="s">
        <v>815</v>
      </c>
    </row>
    <row r="19" customFormat="false" ht="23.25" hidden="false" customHeight="true" outlineLevel="0" collapsed="false">
      <c r="A19" s="23" t="s">
        <v>816</v>
      </c>
      <c r="B19" s="23" t="s">
        <v>804</v>
      </c>
      <c r="C19" s="23" t="s">
        <v>817</v>
      </c>
      <c r="D19" s="23" t="s">
        <v>818</v>
      </c>
      <c r="E19" s="23" t="s">
        <v>681</v>
      </c>
      <c r="F19" s="23" t="s">
        <v>652</v>
      </c>
      <c r="G19" s="23" t="s">
        <v>819</v>
      </c>
      <c r="H19" s="23" t="s">
        <v>811</v>
      </c>
    </row>
    <row r="20" customFormat="false" ht="23.25" hidden="false" customHeight="true" outlineLevel="0" collapsed="false">
      <c r="A20" s="23" t="s">
        <v>820</v>
      </c>
      <c r="B20" s="23" t="s">
        <v>804</v>
      </c>
      <c r="C20" s="23" t="s">
        <v>821</v>
      </c>
      <c r="D20" s="23" t="s">
        <v>822</v>
      </c>
      <c r="E20" s="23" t="s">
        <v>681</v>
      </c>
      <c r="F20" s="23" t="s">
        <v>796</v>
      </c>
      <c r="G20" s="23" t="s">
        <v>823</v>
      </c>
      <c r="H20" s="23" t="s">
        <v>811</v>
      </c>
    </row>
    <row r="21" customFormat="false" ht="23.25" hidden="false" customHeight="true" outlineLevel="0" collapsed="false">
      <c r="A21" s="23" t="s">
        <v>824</v>
      </c>
      <c r="B21" s="23" t="s">
        <v>825</v>
      </c>
      <c r="C21" s="23" t="s">
        <v>821</v>
      </c>
      <c r="D21" s="23" t="s">
        <v>822</v>
      </c>
      <c r="E21" s="23" t="s">
        <v>681</v>
      </c>
      <c r="F21" s="23" t="s">
        <v>796</v>
      </c>
      <c r="G21" s="23" t="s">
        <v>826</v>
      </c>
      <c r="H21" s="23" t="s">
        <v>811</v>
      </c>
    </row>
    <row r="22" customFormat="false" ht="23.25" hidden="false" customHeight="true" outlineLevel="0" collapsed="false">
      <c r="A22" s="23" t="s">
        <v>827</v>
      </c>
      <c r="B22" s="23" t="s">
        <v>825</v>
      </c>
      <c r="C22" s="23" t="s">
        <v>828</v>
      </c>
      <c r="D22" s="23" t="s">
        <v>822</v>
      </c>
      <c r="E22" s="23" t="s">
        <v>681</v>
      </c>
      <c r="F22" s="23" t="s">
        <v>829</v>
      </c>
      <c r="G22" s="23" t="s">
        <v>826</v>
      </c>
      <c r="H22" s="23" t="s">
        <v>811</v>
      </c>
    </row>
    <row r="23" customFormat="false" ht="15" hidden="false" customHeight="true" outlineLevel="0" collapsed="false">
      <c r="A23" s="23" t="s">
        <v>830</v>
      </c>
      <c r="B23" s="23" t="s">
        <v>831</v>
      </c>
      <c r="C23" s="23" t="s">
        <v>580</v>
      </c>
      <c r="D23" s="23" t="s">
        <v>813</v>
      </c>
      <c r="E23" s="23" t="s">
        <v>814</v>
      </c>
      <c r="F23" s="23" t="s">
        <v>796</v>
      </c>
      <c r="G23" s="23" t="s">
        <v>832</v>
      </c>
      <c r="H23" s="23" t="s">
        <v>815</v>
      </c>
    </row>
    <row r="24" customFormat="false" ht="15" hidden="false" customHeight="true" outlineLevel="0" collapsed="false">
      <c r="A24" s="23" t="s">
        <v>833</v>
      </c>
      <c r="B24" s="23" t="s">
        <v>831</v>
      </c>
      <c r="C24" s="23" t="s">
        <v>580</v>
      </c>
      <c r="D24" s="23" t="s">
        <v>813</v>
      </c>
      <c r="E24" s="23" t="s">
        <v>814</v>
      </c>
      <c r="F24" s="23" t="s">
        <v>796</v>
      </c>
      <c r="G24" s="23" t="s">
        <v>832</v>
      </c>
      <c r="H24" s="23" t="s">
        <v>815</v>
      </c>
    </row>
    <row r="25" customFormat="false" ht="23.25" hidden="false" customHeight="true" outlineLevel="0" collapsed="false">
      <c r="A25" s="23" t="s">
        <v>834</v>
      </c>
      <c r="B25" s="23" t="s">
        <v>831</v>
      </c>
      <c r="C25" s="23" t="s">
        <v>835</v>
      </c>
      <c r="D25" s="23" t="s">
        <v>836</v>
      </c>
      <c r="E25" s="23" t="s">
        <v>681</v>
      </c>
      <c r="F25" s="23" t="s">
        <v>829</v>
      </c>
      <c r="G25" s="23" t="s">
        <v>837</v>
      </c>
      <c r="H25" s="23" t="s">
        <v>811</v>
      </c>
    </row>
    <row r="26" customFormat="false" ht="23.25" hidden="false" customHeight="true" outlineLevel="0" collapsed="false">
      <c r="A26" s="23" t="s">
        <v>838</v>
      </c>
      <c r="B26" s="23" t="s">
        <v>831</v>
      </c>
      <c r="C26" s="23" t="s">
        <v>839</v>
      </c>
      <c r="D26" s="23" t="s">
        <v>840</v>
      </c>
      <c r="E26" s="23" t="s">
        <v>681</v>
      </c>
      <c r="F26" s="23" t="s">
        <v>652</v>
      </c>
      <c r="G26" s="23" t="s">
        <v>837</v>
      </c>
      <c r="H26" s="23" t="s">
        <v>811</v>
      </c>
    </row>
    <row r="27" customFormat="false" ht="23.25" hidden="false" customHeight="true" outlineLevel="0" collapsed="false">
      <c r="A27" s="23" t="s">
        <v>841</v>
      </c>
      <c r="B27" s="23" t="s">
        <v>831</v>
      </c>
      <c r="C27" s="23" t="s">
        <v>842</v>
      </c>
      <c r="D27" s="23" t="s">
        <v>843</v>
      </c>
      <c r="E27" s="23" t="s">
        <v>681</v>
      </c>
      <c r="F27" s="23" t="s">
        <v>796</v>
      </c>
      <c r="G27" s="23" t="s">
        <v>837</v>
      </c>
      <c r="H27" s="23" t="s">
        <v>811</v>
      </c>
    </row>
    <row r="28" customFormat="false" ht="23.25" hidden="false" customHeight="true" outlineLevel="0" collapsed="false">
      <c r="A28" s="23" t="s">
        <v>844</v>
      </c>
      <c r="B28" s="23" t="s">
        <v>831</v>
      </c>
      <c r="C28" s="23" t="s">
        <v>845</v>
      </c>
      <c r="D28" s="23" t="s">
        <v>846</v>
      </c>
      <c r="E28" s="23" t="s">
        <v>681</v>
      </c>
      <c r="F28" s="23" t="s">
        <v>796</v>
      </c>
      <c r="G28" s="23" t="s">
        <v>823</v>
      </c>
      <c r="H28" s="23" t="s">
        <v>811</v>
      </c>
    </row>
    <row r="29" customFormat="false" ht="15" hidden="false" customHeight="true" outlineLevel="0" collapsed="false">
      <c r="A29" s="23" t="s">
        <v>847</v>
      </c>
      <c r="B29" s="23" t="s">
        <v>778</v>
      </c>
      <c r="C29" s="23" t="s">
        <v>736</v>
      </c>
      <c r="D29" s="23" t="s">
        <v>737</v>
      </c>
      <c r="E29" s="23" t="s">
        <v>738</v>
      </c>
      <c r="F29" s="23" t="s">
        <v>652</v>
      </c>
      <c r="G29" s="23" t="s">
        <v>740</v>
      </c>
      <c r="H29" s="23" t="s">
        <v>741</v>
      </c>
    </row>
  </sheetData>
  <autoFilter ref="A1:H29"/>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2" min="1" style="1" width="22"/>
    <col collapsed="false" customWidth="true" hidden="false" outlineLevel="0" max="3" min="3" style="1" width="14"/>
    <col collapsed="false" customWidth="true" hidden="false" outlineLevel="0" max="4" min="4" style="1" width="10"/>
    <col collapsed="false" customWidth="true" hidden="false" outlineLevel="0" max="5" min="5" style="1" width="40"/>
  </cols>
  <sheetData>
    <row r="1" customFormat="false" ht="15" hidden="false" customHeight="true" outlineLevel="0" collapsed="false">
      <c r="A1" s="5" t="s">
        <v>848</v>
      </c>
      <c r="B1" s="5" t="s">
        <v>641</v>
      </c>
      <c r="C1" s="5" t="s">
        <v>747</v>
      </c>
      <c r="D1" s="5" t="s">
        <v>643</v>
      </c>
      <c r="E1" s="5" t="s">
        <v>647</v>
      </c>
    </row>
    <row r="2" customFormat="false" ht="23.25" hidden="false" customHeight="true" outlineLevel="0" collapsed="false">
      <c r="A2" s="23" t="s">
        <v>849</v>
      </c>
      <c r="B2" s="23" t="s">
        <v>560</v>
      </c>
      <c r="C2" s="23" t="s">
        <v>850</v>
      </c>
      <c r="D2" s="23" t="s">
        <v>652</v>
      </c>
      <c r="E2" s="23" t="s">
        <v>631</v>
      </c>
    </row>
    <row r="3" customFormat="false" ht="23.25" hidden="false" customHeight="true" outlineLevel="0" collapsed="false">
      <c r="A3" s="23" t="s">
        <v>851</v>
      </c>
      <c r="B3" s="23" t="s">
        <v>852</v>
      </c>
      <c r="C3" s="23" t="s">
        <v>853</v>
      </c>
      <c r="D3" s="23" t="s">
        <v>652</v>
      </c>
      <c r="E3" s="23" t="s">
        <v>631</v>
      </c>
    </row>
    <row r="4" customFormat="false" ht="23.25" hidden="false" customHeight="true" outlineLevel="0" collapsed="false">
      <c r="A4" s="23" t="s">
        <v>854</v>
      </c>
      <c r="B4" s="23" t="s">
        <v>730</v>
      </c>
      <c r="C4" s="23" t="s">
        <v>855</v>
      </c>
      <c r="D4" s="23" t="s">
        <v>652</v>
      </c>
      <c r="E4" s="23" t="s">
        <v>631</v>
      </c>
    </row>
    <row r="5" customFormat="false" ht="23.25" hidden="false" customHeight="true" outlineLevel="0" collapsed="false">
      <c r="A5" s="23" t="s">
        <v>856</v>
      </c>
      <c r="B5" s="23" t="s">
        <v>451</v>
      </c>
      <c r="C5" s="23" t="s">
        <v>857</v>
      </c>
      <c r="D5" s="23" t="s">
        <v>652</v>
      </c>
      <c r="E5" s="23" t="s">
        <v>631</v>
      </c>
    </row>
    <row r="6" customFormat="false" ht="23.25" hidden="false" customHeight="true" outlineLevel="0" collapsed="false">
      <c r="A6" s="23" t="s">
        <v>858</v>
      </c>
      <c r="B6" s="23" t="s">
        <v>438</v>
      </c>
      <c r="C6" s="23" t="s">
        <v>859</v>
      </c>
      <c r="D6" s="23" t="s">
        <v>652</v>
      </c>
      <c r="E6" s="23" t="s">
        <v>631</v>
      </c>
    </row>
    <row r="7" customFormat="false" ht="23.25" hidden="false" customHeight="true" outlineLevel="0" collapsed="false">
      <c r="A7" s="23" t="s">
        <v>860</v>
      </c>
      <c r="B7" s="23" t="s">
        <v>861</v>
      </c>
      <c r="C7" s="23" t="s">
        <v>681</v>
      </c>
      <c r="D7" s="23" t="s">
        <v>652</v>
      </c>
      <c r="E7" s="23" t="s">
        <v>862</v>
      </c>
    </row>
  </sheetData>
  <autoFilter ref="A1:E7"/>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1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2"/>
    <col collapsed="false" customWidth="true" hidden="false" outlineLevel="0" max="2" min="2" style="0" width="13"/>
    <col collapsed="false" customWidth="true" hidden="false" outlineLevel="0" max="5" min="3" style="0" width="12"/>
    <col collapsed="false" customWidth="true" hidden="false" outlineLevel="0" max="6" min="6" style="0" width="13"/>
    <col collapsed="false" customWidth="true" hidden="false" outlineLevel="0" max="8" min="7" style="0" width="12"/>
  </cols>
  <sheetData>
    <row r="1" customFormat="false" ht="15" hidden="false" customHeight="false" outlineLevel="0" collapsed="false">
      <c r="A1" s="24" t="s">
        <v>863</v>
      </c>
      <c r="B1" s="24" t="s">
        <v>864</v>
      </c>
      <c r="C1" s="24" t="s">
        <v>865</v>
      </c>
      <c r="D1" s="24" t="s">
        <v>866</v>
      </c>
      <c r="E1" s="24" t="s">
        <v>641</v>
      </c>
      <c r="F1" s="24" t="s">
        <v>867</v>
      </c>
      <c r="G1" s="24" t="s">
        <v>643</v>
      </c>
      <c r="H1" s="24" t="s">
        <v>868</v>
      </c>
    </row>
    <row r="2" customFormat="false" ht="15" hidden="false" customHeight="false" outlineLevel="0" collapsed="false">
      <c r="A2" s="0" t="n">
        <v>5482</v>
      </c>
      <c r="B2" s="0" t="s">
        <v>869</v>
      </c>
      <c r="C2" s="0" t="s">
        <v>870</v>
      </c>
      <c r="D2" s="0" t="s">
        <v>871</v>
      </c>
      <c r="E2" s="0" t="s">
        <v>872</v>
      </c>
      <c r="F2" s="0" t="s">
        <v>873</v>
      </c>
      <c r="G2" s="0" t="s">
        <v>874</v>
      </c>
      <c r="H2" s="0" t="n">
        <v>35</v>
      </c>
    </row>
    <row r="3" customFormat="false" ht="15" hidden="false" customHeight="false" outlineLevel="0" collapsed="false">
      <c r="A3" s="0" t="n">
        <v>4210</v>
      </c>
      <c r="B3" s="0" t="s">
        <v>875</v>
      </c>
      <c r="C3" s="0" t="s">
        <v>870</v>
      </c>
      <c r="D3" s="0" t="s">
        <v>871</v>
      </c>
      <c r="E3" s="0" t="s">
        <v>876</v>
      </c>
      <c r="F3" s="0" t="s">
        <v>877</v>
      </c>
      <c r="G3" s="0" t="s">
        <v>874</v>
      </c>
      <c r="H3" s="0" t="n">
        <v>35</v>
      </c>
    </row>
    <row r="4" customFormat="false" ht="15" hidden="false" customHeight="false" outlineLevel="0" collapsed="false">
      <c r="A4" s="0" t="n">
        <v>1355</v>
      </c>
      <c r="B4" s="0" t="s">
        <v>878</v>
      </c>
      <c r="C4" s="0" t="s">
        <v>870</v>
      </c>
      <c r="D4" s="0" t="s">
        <v>871</v>
      </c>
      <c r="E4" s="0" t="s">
        <v>427</v>
      </c>
      <c r="F4" s="0" t="s">
        <v>879</v>
      </c>
      <c r="G4" s="0" t="s">
        <v>874</v>
      </c>
      <c r="H4" s="0" t="n">
        <v>9</v>
      </c>
    </row>
    <row r="5" customFormat="false" ht="15" hidden="false" customHeight="false" outlineLevel="0" collapsed="false">
      <c r="A5" s="0" t="n">
        <v>1699</v>
      </c>
      <c r="B5" s="0" t="s">
        <v>880</v>
      </c>
      <c r="C5" s="0" t="s">
        <v>870</v>
      </c>
      <c r="D5" s="0" t="s">
        <v>871</v>
      </c>
      <c r="E5" s="0" t="s">
        <v>427</v>
      </c>
      <c r="F5" s="0" t="s">
        <v>881</v>
      </c>
      <c r="G5" s="0" t="s">
        <v>874</v>
      </c>
      <c r="H5" s="0" t="n">
        <v>10</v>
      </c>
    </row>
    <row r="6" customFormat="false" ht="15" hidden="false" customHeight="false" outlineLevel="0" collapsed="false">
      <c r="A6" s="0" t="n">
        <v>1430</v>
      </c>
      <c r="B6" s="0" t="s">
        <v>882</v>
      </c>
      <c r="C6" s="0" t="s">
        <v>883</v>
      </c>
      <c r="D6" s="0" t="s">
        <v>884</v>
      </c>
      <c r="E6" s="0" t="s">
        <v>885</v>
      </c>
      <c r="F6" s="0" t="s">
        <v>886</v>
      </c>
      <c r="G6" s="0" t="s">
        <v>874</v>
      </c>
      <c r="H6" s="0" t="n">
        <v>10</v>
      </c>
    </row>
    <row r="7" customFormat="false" ht="15" hidden="false" customHeight="false" outlineLevel="0" collapsed="false">
      <c r="A7" s="0" t="n">
        <v>5159</v>
      </c>
      <c r="B7" s="0" t="s">
        <v>887</v>
      </c>
      <c r="C7" s="0" t="s">
        <v>870</v>
      </c>
      <c r="D7" s="0" t="s">
        <v>871</v>
      </c>
      <c r="E7" s="0" t="s">
        <v>888</v>
      </c>
      <c r="F7" s="0" t="s">
        <v>889</v>
      </c>
      <c r="G7" s="0" t="s">
        <v>874</v>
      </c>
      <c r="H7" s="0" t="n">
        <v>35</v>
      </c>
    </row>
    <row r="8" customFormat="false" ht="15" hidden="false" customHeight="false" outlineLevel="0" collapsed="false">
      <c r="A8" s="0" t="n">
        <v>3087</v>
      </c>
      <c r="B8" s="0" t="s">
        <v>890</v>
      </c>
      <c r="C8" s="0" t="s">
        <v>870</v>
      </c>
      <c r="D8" s="0" t="s">
        <v>871</v>
      </c>
      <c r="E8" s="0" t="s">
        <v>891</v>
      </c>
      <c r="F8" s="0" t="s">
        <v>892</v>
      </c>
      <c r="G8" s="0" t="s">
        <v>874</v>
      </c>
      <c r="H8" s="0" t="n">
        <v>22</v>
      </c>
    </row>
    <row r="9" customFormat="false" ht="15" hidden="false" customHeight="false" outlineLevel="0" collapsed="false">
      <c r="A9" s="0" t="n">
        <v>6286</v>
      </c>
      <c r="B9" s="0" t="s">
        <v>893</v>
      </c>
      <c r="C9" s="0" t="s">
        <v>883</v>
      </c>
      <c r="D9" s="0" t="s">
        <v>884</v>
      </c>
      <c r="E9" s="0" t="s">
        <v>468</v>
      </c>
      <c r="F9" s="0" t="s">
        <v>894</v>
      </c>
      <c r="G9" s="0" t="s">
        <v>874</v>
      </c>
      <c r="H9" s="0" t="n">
        <v>13</v>
      </c>
    </row>
    <row r="10" customFormat="false" ht="15" hidden="false" customHeight="false" outlineLevel="0" collapsed="false">
      <c r="A10" s="0" t="n">
        <v>8306</v>
      </c>
      <c r="B10" s="0" t="s">
        <v>860</v>
      </c>
      <c r="C10" s="0" t="s">
        <v>883</v>
      </c>
      <c r="D10" s="0" t="s">
        <v>884</v>
      </c>
      <c r="E10" s="0" t="s">
        <v>895</v>
      </c>
      <c r="F10" s="0" t="s">
        <v>896</v>
      </c>
      <c r="G10" s="0" t="s">
        <v>652</v>
      </c>
      <c r="H10" s="0" t="n">
        <v>18</v>
      </c>
    </row>
    <row r="11" customFormat="false" ht="15" hidden="false" customHeight="false" outlineLevel="0" collapsed="false">
      <c r="A11" s="0" t="n">
        <v>3067</v>
      </c>
      <c r="B11" s="0" t="s">
        <v>856</v>
      </c>
      <c r="C11" s="0" t="s">
        <v>883</v>
      </c>
      <c r="D11" s="0" t="s">
        <v>884</v>
      </c>
      <c r="E11" s="0" t="s">
        <v>451</v>
      </c>
      <c r="F11" s="0" t="s">
        <v>897</v>
      </c>
      <c r="G11" s="0" t="s">
        <v>652</v>
      </c>
      <c r="H11" s="0" t="n">
        <v>12</v>
      </c>
    </row>
    <row r="12" customFormat="false" ht="15" hidden="false" customHeight="false" outlineLevel="0" collapsed="false">
      <c r="A12" s="0" t="n">
        <v>3399</v>
      </c>
      <c r="B12" s="0" t="s">
        <v>854</v>
      </c>
      <c r="C12" s="0" t="s">
        <v>870</v>
      </c>
      <c r="D12" s="0" t="s">
        <v>871</v>
      </c>
      <c r="E12" s="0" t="s">
        <v>730</v>
      </c>
      <c r="F12" s="0" t="s">
        <v>898</v>
      </c>
      <c r="G12" s="0" t="s">
        <v>652</v>
      </c>
      <c r="H12" s="0" t="n">
        <v>35</v>
      </c>
    </row>
    <row r="13" customFormat="false" ht="15" hidden="false" customHeight="false" outlineLevel="0" collapsed="false">
      <c r="A13" s="0" t="n">
        <v>3026</v>
      </c>
      <c r="B13" s="0" t="s">
        <v>851</v>
      </c>
      <c r="C13" s="0" t="s">
        <v>870</v>
      </c>
      <c r="D13" s="0" t="s">
        <v>871</v>
      </c>
      <c r="E13" s="0" t="s">
        <v>899</v>
      </c>
      <c r="F13" s="0" t="s">
        <v>900</v>
      </c>
      <c r="G13" s="0" t="s">
        <v>652</v>
      </c>
      <c r="H13" s="0" t="n">
        <v>45</v>
      </c>
    </row>
    <row r="14" customFormat="false" ht="15" hidden="false" customHeight="false" outlineLevel="0" collapsed="false">
      <c r="A14" s="0" t="n">
        <v>4552</v>
      </c>
      <c r="B14" s="0" t="s">
        <v>849</v>
      </c>
      <c r="C14" s="0" t="s">
        <v>870</v>
      </c>
      <c r="D14" s="0" t="s">
        <v>871</v>
      </c>
      <c r="E14" s="0" t="s">
        <v>531</v>
      </c>
      <c r="F14" s="0" t="s">
        <v>901</v>
      </c>
      <c r="G14" s="0" t="s">
        <v>652</v>
      </c>
      <c r="H14" s="0" t="n">
        <v>35</v>
      </c>
    </row>
    <row r="15" customFormat="false" ht="15" hidden="false" customHeight="false" outlineLevel="0" collapsed="false">
      <c r="A15" s="0" t="n">
        <v>1382</v>
      </c>
      <c r="B15" s="0" t="s">
        <v>858</v>
      </c>
      <c r="C15" s="0" t="s">
        <v>902</v>
      </c>
      <c r="D15" s="0" t="s">
        <v>903</v>
      </c>
      <c r="E15" s="0" t="s">
        <v>581</v>
      </c>
      <c r="F15" s="0" t="s">
        <v>904</v>
      </c>
      <c r="G15" s="0" t="s">
        <v>652</v>
      </c>
      <c r="H15" s="0" t="n">
        <v>40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M5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3" min="1" style="0" width="12"/>
    <col collapsed="false" customWidth="true" hidden="false" outlineLevel="0" max="4" min="4" style="0" width="14"/>
    <col collapsed="false" customWidth="true" hidden="false" outlineLevel="0" max="5" min="5" style="0" width="15"/>
    <col collapsed="false" customWidth="true" hidden="false" outlineLevel="0" max="6" min="6" style="0" width="17"/>
    <col collapsed="false" customWidth="true" hidden="false" outlineLevel="0" max="7" min="7" style="0" width="26"/>
    <col collapsed="false" customWidth="true" hidden="false" outlineLevel="0" max="8" min="8" style="0" width="17"/>
    <col collapsed="false" customWidth="true" hidden="false" outlineLevel="0" max="9" min="9" style="0" width="23"/>
    <col collapsed="false" customWidth="true" hidden="false" outlineLevel="0" max="10" min="10" style="0" width="14"/>
    <col collapsed="false" customWidth="true" hidden="false" outlineLevel="0" max="11" min="11" style="0" width="17"/>
    <col collapsed="false" customWidth="true" hidden="false" outlineLevel="0" max="12" min="12" style="0" width="13"/>
    <col collapsed="false" customWidth="true" hidden="false" outlineLevel="0" max="13" min="13" style="0" width="12"/>
  </cols>
  <sheetData>
    <row r="1" customFormat="false" ht="15" hidden="false" customHeight="false" outlineLevel="0" collapsed="false">
      <c r="A1" s="24" t="s">
        <v>905</v>
      </c>
      <c r="B1" s="24" t="s">
        <v>906</v>
      </c>
      <c r="C1" s="24" t="s">
        <v>907</v>
      </c>
      <c r="D1" s="24" t="s">
        <v>908</v>
      </c>
      <c r="E1" s="24" t="s">
        <v>909</v>
      </c>
      <c r="F1" s="24" t="s">
        <v>910</v>
      </c>
      <c r="G1" s="24" t="s">
        <v>911</v>
      </c>
      <c r="H1" s="24" t="s">
        <v>912</v>
      </c>
      <c r="I1" s="24" t="s">
        <v>913</v>
      </c>
      <c r="J1" s="24" t="s">
        <v>914</v>
      </c>
      <c r="K1" s="24" t="s">
        <v>915</v>
      </c>
      <c r="L1" s="24" t="s">
        <v>867</v>
      </c>
      <c r="M1" s="24" t="s">
        <v>643</v>
      </c>
    </row>
    <row r="2" customFormat="false" ht="15" hidden="false" customHeight="false" outlineLevel="0" collapsed="false">
      <c r="A2" s="0" t="n">
        <v>619</v>
      </c>
      <c r="B2" s="0" t="s">
        <v>916</v>
      </c>
      <c r="C2" s="0" t="s">
        <v>917</v>
      </c>
      <c r="D2" s="0" t="n">
        <v>52</v>
      </c>
      <c r="E2" s="0" t="n">
        <v>1</v>
      </c>
      <c r="G2" s="0" t="s">
        <v>918</v>
      </c>
      <c r="H2" s="0" t="s">
        <v>919</v>
      </c>
      <c r="M2" s="0" t="s">
        <v>920</v>
      </c>
    </row>
    <row r="3" customFormat="false" ht="15" hidden="false" customHeight="false" outlineLevel="0" collapsed="false">
      <c r="A3" s="0" t="n">
        <v>8529</v>
      </c>
      <c r="B3" s="0" t="s">
        <v>921</v>
      </c>
      <c r="C3" s="0" t="s">
        <v>922</v>
      </c>
      <c r="D3" s="0" t="n">
        <v>60</v>
      </c>
      <c r="E3" s="0" t="n">
        <v>1</v>
      </c>
      <c r="G3" s="0" t="s">
        <v>918</v>
      </c>
      <c r="H3" s="0" t="s">
        <v>224</v>
      </c>
      <c r="J3" s="0" t="s">
        <v>923</v>
      </c>
      <c r="K3" s="0" t="s">
        <v>888</v>
      </c>
      <c r="L3" s="0" t="s">
        <v>924</v>
      </c>
      <c r="M3" s="0" t="s">
        <v>920</v>
      </c>
    </row>
    <row r="4" customFormat="false" ht="15" hidden="false" customHeight="false" outlineLevel="0" collapsed="false">
      <c r="A4" s="0" t="n">
        <v>8527</v>
      </c>
      <c r="B4" s="0" t="s">
        <v>925</v>
      </c>
      <c r="C4" s="0" t="s">
        <v>926</v>
      </c>
      <c r="D4" s="0" t="n">
        <v>60</v>
      </c>
      <c r="E4" s="0" t="n">
        <v>1</v>
      </c>
      <c r="G4" s="0" t="s">
        <v>918</v>
      </c>
      <c r="H4" s="0" t="s">
        <v>188</v>
      </c>
      <c r="J4" s="0" t="s">
        <v>927</v>
      </c>
      <c r="K4" s="0" t="s">
        <v>888</v>
      </c>
      <c r="L4" s="0" t="s">
        <v>928</v>
      </c>
      <c r="M4" s="0" t="s">
        <v>920</v>
      </c>
    </row>
    <row r="5" customFormat="false" ht="15" hidden="false" customHeight="false" outlineLevel="0" collapsed="false">
      <c r="A5" s="0" t="n">
        <v>8525</v>
      </c>
      <c r="B5" s="0" t="s">
        <v>929</v>
      </c>
      <c r="C5" s="0" t="s">
        <v>930</v>
      </c>
      <c r="D5" s="0" t="n">
        <v>60</v>
      </c>
      <c r="E5" s="0" t="n">
        <v>1</v>
      </c>
      <c r="G5" s="0" t="s">
        <v>918</v>
      </c>
      <c r="H5" s="0" t="s">
        <v>98</v>
      </c>
      <c r="J5" s="0" t="s">
        <v>931</v>
      </c>
      <c r="K5" s="0" t="s">
        <v>888</v>
      </c>
      <c r="L5" s="0" t="s">
        <v>932</v>
      </c>
      <c r="M5" s="0" t="s">
        <v>920</v>
      </c>
    </row>
    <row r="6" customFormat="false" ht="15" hidden="false" customHeight="false" outlineLevel="0" collapsed="false">
      <c r="A6" s="0" t="n">
        <v>8614</v>
      </c>
      <c r="B6" s="0" t="s">
        <v>933</v>
      </c>
      <c r="C6" s="0" t="s">
        <v>934</v>
      </c>
      <c r="D6" s="0" t="n">
        <v>60</v>
      </c>
      <c r="E6" s="0" t="n">
        <v>1</v>
      </c>
      <c r="G6" s="0" t="s">
        <v>918</v>
      </c>
      <c r="H6" s="0" t="s">
        <v>224</v>
      </c>
      <c r="J6" s="0" t="s">
        <v>935</v>
      </c>
      <c r="K6" s="0" t="s">
        <v>730</v>
      </c>
      <c r="L6" s="0" t="s">
        <v>936</v>
      </c>
      <c r="M6" s="0" t="s">
        <v>920</v>
      </c>
    </row>
    <row r="7" customFormat="false" ht="15" hidden="false" customHeight="false" outlineLevel="0" collapsed="false">
      <c r="A7" s="0" t="n">
        <v>8616</v>
      </c>
      <c r="B7" s="0" t="s">
        <v>937</v>
      </c>
      <c r="C7" s="0" t="s">
        <v>938</v>
      </c>
      <c r="D7" s="0" t="n">
        <v>60</v>
      </c>
      <c r="E7" s="0" t="n">
        <v>1</v>
      </c>
      <c r="G7" s="0" t="s">
        <v>918</v>
      </c>
      <c r="H7" s="0" t="s">
        <v>237</v>
      </c>
      <c r="J7" s="0" t="s">
        <v>939</v>
      </c>
      <c r="K7" s="0" t="s">
        <v>730</v>
      </c>
      <c r="L7" s="0" t="s">
        <v>940</v>
      </c>
      <c r="M7" s="0" t="s">
        <v>920</v>
      </c>
    </row>
    <row r="8" customFormat="false" ht="15" hidden="false" customHeight="false" outlineLevel="0" collapsed="false">
      <c r="A8" s="0" t="n">
        <v>8612</v>
      </c>
      <c r="B8" s="0" t="s">
        <v>941</v>
      </c>
      <c r="C8" s="0" t="s">
        <v>942</v>
      </c>
      <c r="D8" s="0" t="n">
        <v>60</v>
      </c>
      <c r="E8" s="0" t="n">
        <v>1</v>
      </c>
      <c r="G8" s="0" t="s">
        <v>918</v>
      </c>
      <c r="H8" s="0" t="s">
        <v>148</v>
      </c>
      <c r="J8" s="0" t="s">
        <v>943</v>
      </c>
      <c r="K8" s="0" t="s">
        <v>730</v>
      </c>
      <c r="L8" s="0" t="s">
        <v>944</v>
      </c>
      <c r="M8" s="0" t="s">
        <v>920</v>
      </c>
    </row>
    <row r="9" customFormat="false" ht="15" hidden="false" customHeight="false" outlineLevel="0" collapsed="false">
      <c r="A9" s="0" t="n">
        <v>16</v>
      </c>
      <c r="B9" s="0" t="s">
        <v>945</v>
      </c>
      <c r="C9" s="0" t="s">
        <v>946</v>
      </c>
      <c r="D9" s="0" t="n">
        <v>1</v>
      </c>
      <c r="E9" s="0" t="n">
        <v>1</v>
      </c>
      <c r="G9" s="0" t="s">
        <v>918</v>
      </c>
      <c r="H9" s="0" t="s">
        <v>293</v>
      </c>
      <c r="J9" s="0" t="s">
        <v>947</v>
      </c>
      <c r="K9" s="0" t="s">
        <v>885</v>
      </c>
      <c r="L9" s="0" t="s">
        <v>948</v>
      </c>
      <c r="M9" s="0" t="s">
        <v>874</v>
      </c>
    </row>
    <row r="10" customFormat="false" ht="15" hidden="false" customHeight="false" outlineLevel="0" collapsed="false">
      <c r="A10" s="0" t="n">
        <v>4161</v>
      </c>
      <c r="B10" s="0" t="s">
        <v>949</v>
      </c>
      <c r="C10" s="0" t="s">
        <v>950</v>
      </c>
      <c r="D10" s="0" t="n">
        <v>7</v>
      </c>
      <c r="E10" s="0" t="n">
        <v>1</v>
      </c>
      <c r="F10" s="0" t="n">
        <v>1</v>
      </c>
      <c r="G10" s="0" t="s">
        <v>951</v>
      </c>
      <c r="H10" s="0" t="s">
        <v>304</v>
      </c>
      <c r="I10" s="0" t="s">
        <v>952</v>
      </c>
      <c r="J10" s="0" t="s">
        <v>893</v>
      </c>
      <c r="K10" s="0" t="s">
        <v>468</v>
      </c>
      <c r="L10" s="0" t="s">
        <v>894</v>
      </c>
      <c r="M10" s="0" t="s">
        <v>874</v>
      </c>
    </row>
    <row r="11" customFormat="false" ht="15" hidden="false" customHeight="false" outlineLevel="0" collapsed="false">
      <c r="A11" s="0" t="n">
        <v>317</v>
      </c>
      <c r="B11" s="0" t="s">
        <v>953</v>
      </c>
      <c r="C11" s="0" t="s">
        <v>954</v>
      </c>
      <c r="D11" s="0" t="n">
        <v>6</v>
      </c>
      <c r="E11" s="0" t="n">
        <v>2</v>
      </c>
      <c r="G11" s="0" t="s">
        <v>918</v>
      </c>
      <c r="H11" s="0" t="s">
        <v>955</v>
      </c>
      <c r="J11" s="0" t="s">
        <v>956</v>
      </c>
      <c r="K11" s="0" t="s">
        <v>427</v>
      </c>
      <c r="L11" s="0" t="s">
        <v>957</v>
      </c>
      <c r="M11" s="0" t="s">
        <v>874</v>
      </c>
    </row>
    <row r="12" customFormat="false" ht="15" hidden="false" customHeight="false" outlineLevel="0" collapsed="false">
      <c r="A12" s="0" t="n">
        <v>384</v>
      </c>
      <c r="B12" s="0" t="s">
        <v>77</v>
      </c>
      <c r="C12" s="0" t="s">
        <v>958</v>
      </c>
      <c r="D12" s="0" t="n">
        <v>7</v>
      </c>
      <c r="E12" s="0" t="n">
        <v>5</v>
      </c>
      <c r="G12" s="0" t="s">
        <v>959</v>
      </c>
      <c r="H12" s="0" t="s">
        <v>960</v>
      </c>
      <c r="I12" s="0" t="s">
        <v>961</v>
      </c>
      <c r="J12" s="0" t="s">
        <v>962</v>
      </c>
      <c r="K12" s="0" t="s">
        <v>427</v>
      </c>
      <c r="L12" s="0" t="s">
        <v>963</v>
      </c>
      <c r="M12" s="0" t="s">
        <v>874</v>
      </c>
    </row>
    <row r="13" customFormat="false" ht="15" hidden="false" customHeight="false" outlineLevel="0" collapsed="false">
      <c r="A13" s="0" t="n">
        <v>86</v>
      </c>
      <c r="B13" s="0" t="s">
        <v>964</v>
      </c>
      <c r="C13" s="0" t="s">
        <v>965</v>
      </c>
      <c r="D13" s="0" t="n">
        <v>6</v>
      </c>
      <c r="E13" s="0" t="n">
        <v>5</v>
      </c>
      <c r="G13" s="0" t="s">
        <v>918</v>
      </c>
      <c r="H13" s="0" t="s">
        <v>278</v>
      </c>
      <c r="J13" s="0" t="s">
        <v>966</v>
      </c>
      <c r="K13" s="0" t="s">
        <v>885</v>
      </c>
      <c r="L13" s="0" t="s">
        <v>967</v>
      </c>
      <c r="M13" s="0" t="s">
        <v>874</v>
      </c>
    </row>
    <row r="14" customFormat="false" ht="15" hidden="false" customHeight="false" outlineLevel="0" collapsed="false">
      <c r="A14" s="0" t="n">
        <v>418</v>
      </c>
      <c r="B14" s="0" t="s">
        <v>968</v>
      </c>
      <c r="C14" s="0" t="s">
        <v>969</v>
      </c>
      <c r="D14" s="0" t="n">
        <v>11</v>
      </c>
      <c r="E14" s="0" t="n">
        <v>7</v>
      </c>
      <c r="G14" s="0" t="s">
        <v>959</v>
      </c>
      <c r="H14" s="0" t="s">
        <v>970</v>
      </c>
      <c r="I14" s="0" t="s">
        <v>971</v>
      </c>
      <c r="J14" s="0" t="s">
        <v>972</v>
      </c>
      <c r="K14" s="0" t="s">
        <v>406</v>
      </c>
      <c r="L14" s="0" t="s">
        <v>973</v>
      </c>
      <c r="M14" s="0" t="s">
        <v>874</v>
      </c>
    </row>
    <row r="15" customFormat="false" ht="15" hidden="false" customHeight="false" outlineLevel="0" collapsed="false">
      <c r="A15" s="0" t="n">
        <v>2178</v>
      </c>
      <c r="B15" s="0" t="s">
        <v>93</v>
      </c>
      <c r="C15" s="0" t="s">
        <v>974</v>
      </c>
      <c r="D15" s="0" t="n">
        <v>12</v>
      </c>
      <c r="E15" s="0" t="n">
        <v>9</v>
      </c>
      <c r="F15" s="0" t="n">
        <v>10</v>
      </c>
      <c r="G15" s="0" t="s">
        <v>951</v>
      </c>
      <c r="H15" s="0" t="s">
        <v>315</v>
      </c>
      <c r="I15" s="0" t="s">
        <v>975</v>
      </c>
      <c r="J15" s="0" t="s">
        <v>976</v>
      </c>
      <c r="K15" s="0" t="s">
        <v>977</v>
      </c>
      <c r="L15" s="0" t="s">
        <v>978</v>
      </c>
      <c r="M15" s="0" t="s">
        <v>874</v>
      </c>
    </row>
    <row r="16" customFormat="false" ht="15" hidden="false" customHeight="false" outlineLevel="0" collapsed="false">
      <c r="A16" s="0" t="n">
        <v>22</v>
      </c>
      <c r="B16" s="0" t="s">
        <v>979</v>
      </c>
      <c r="C16" s="0" t="s">
        <v>980</v>
      </c>
      <c r="D16" s="0" t="n">
        <v>12</v>
      </c>
      <c r="E16" s="0" t="n">
        <v>9</v>
      </c>
      <c r="G16" s="0" t="s">
        <v>959</v>
      </c>
      <c r="H16" s="0" t="s">
        <v>321</v>
      </c>
      <c r="I16" s="0" t="s">
        <v>981</v>
      </c>
      <c r="J16" s="0" t="s">
        <v>982</v>
      </c>
      <c r="K16" s="0" t="s">
        <v>983</v>
      </c>
      <c r="L16" s="0" t="s">
        <v>984</v>
      </c>
      <c r="M16" s="0" t="s">
        <v>874</v>
      </c>
    </row>
    <row r="17" customFormat="false" ht="15" hidden="false" customHeight="false" outlineLevel="0" collapsed="false">
      <c r="A17" s="0" t="n">
        <v>38</v>
      </c>
      <c r="B17" s="0" t="s">
        <v>985</v>
      </c>
      <c r="C17" s="0" t="s">
        <v>986</v>
      </c>
      <c r="D17" s="0" t="n">
        <v>13</v>
      </c>
      <c r="E17" s="0" t="n">
        <v>9</v>
      </c>
      <c r="G17" s="0" t="s">
        <v>959</v>
      </c>
      <c r="H17" s="0" t="s">
        <v>987</v>
      </c>
      <c r="I17" s="0" t="s">
        <v>988</v>
      </c>
      <c r="J17" s="0" t="s">
        <v>982</v>
      </c>
      <c r="K17" s="0" t="s">
        <v>983</v>
      </c>
      <c r="L17" s="0" t="s">
        <v>984</v>
      </c>
      <c r="M17" s="0" t="s">
        <v>874</v>
      </c>
    </row>
    <row r="18" customFormat="false" ht="15" hidden="false" customHeight="false" outlineLevel="0" collapsed="false">
      <c r="A18" s="0" t="n">
        <v>385</v>
      </c>
      <c r="B18" s="0" t="s">
        <v>989</v>
      </c>
      <c r="C18" s="0" t="s">
        <v>990</v>
      </c>
      <c r="D18" s="0" t="n">
        <v>15</v>
      </c>
      <c r="E18" s="0" t="n">
        <v>10</v>
      </c>
      <c r="G18" s="0" t="s">
        <v>959</v>
      </c>
      <c r="H18" s="0" t="s">
        <v>991</v>
      </c>
      <c r="I18" s="0" t="s">
        <v>992</v>
      </c>
      <c r="J18" s="0" t="s">
        <v>993</v>
      </c>
      <c r="K18" s="0" t="s">
        <v>406</v>
      </c>
      <c r="L18" s="0" t="s">
        <v>994</v>
      </c>
      <c r="M18" s="0" t="s">
        <v>874</v>
      </c>
    </row>
    <row r="19" customFormat="false" ht="15" hidden="false" customHeight="false" outlineLevel="0" collapsed="false">
      <c r="A19" s="0" t="n">
        <v>6962</v>
      </c>
      <c r="B19" s="0" t="s">
        <v>995</v>
      </c>
      <c r="C19" s="0" t="s">
        <v>996</v>
      </c>
      <c r="D19" s="0" t="n">
        <v>60</v>
      </c>
      <c r="E19" s="0" t="n">
        <v>10</v>
      </c>
      <c r="G19" s="0" t="s">
        <v>918</v>
      </c>
      <c r="H19" s="0" t="s">
        <v>997</v>
      </c>
      <c r="J19" s="0" t="s">
        <v>998</v>
      </c>
      <c r="K19" s="0" t="s">
        <v>730</v>
      </c>
      <c r="L19" s="0" t="s">
        <v>999</v>
      </c>
      <c r="M19" s="0" t="s">
        <v>652</v>
      </c>
    </row>
    <row r="20" customFormat="false" ht="15" hidden="false" customHeight="false" outlineLevel="0" collapsed="false">
      <c r="A20" s="0" t="n">
        <v>7025</v>
      </c>
      <c r="B20" s="0" t="s">
        <v>1000</v>
      </c>
      <c r="C20" s="0" t="s">
        <v>1001</v>
      </c>
      <c r="D20" s="0" t="n">
        <v>60</v>
      </c>
      <c r="E20" s="0" t="n">
        <v>10</v>
      </c>
      <c r="G20" s="0" t="s">
        <v>918</v>
      </c>
      <c r="H20" s="0" t="s">
        <v>997</v>
      </c>
      <c r="J20" s="0" t="s">
        <v>1002</v>
      </c>
      <c r="K20" s="0" t="s">
        <v>888</v>
      </c>
      <c r="L20" s="0" t="s">
        <v>1003</v>
      </c>
      <c r="M20" s="0" t="s">
        <v>874</v>
      </c>
    </row>
    <row r="21" customFormat="false" ht="15" hidden="false" customHeight="false" outlineLevel="0" collapsed="false">
      <c r="A21" s="0" t="n">
        <v>862</v>
      </c>
      <c r="B21" s="0" t="s">
        <v>120</v>
      </c>
      <c r="C21" s="0" t="s">
        <v>1004</v>
      </c>
      <c r="D21" s="0" t="n">
        <v>23</v>
      </c>
      <c r="E21" s="0" t="n">
        <v>15</v>
      </c>
      <c r="F21" s="0" t="n">
        <v>1</v>
      </c>
      <c r="G21" s="0" t="s">
        <v>951</v>
      </c>
      <c r="H21" s="0" t="s">
        <v>334</v>
      </c>
      <c r="I21" s="0" t="s">
        <v>1005</v>
      </c>
      <c r="J21" s="0" t="s">
        <v>1006</v>
      </c>
      <c r="K21" s="0" t="s">
        <v>895</v>
      </c>
      <c r="L21" s="0" t="s">
        <v>896</v>
      </c>
      <c r="M21" s="0" t="s">
        <v>652</v>
      </c>
    </row>
    <row r="22" customFormat="false" ht="15" hidden="false" customHeight="false" outlineLevel="0" collapsed="false">
      <c r="A22" s="0" t="n">
        <v>92</v>
      </c>
      <c r="B22" s="0" t="s">
        <v>126</v>
      </c>
      <c r="C22" s="0" t="s">
        <v>1007</v>
      </c>
      <c r="D22" s="0" t="n">
        <v>18</v>
      </c>
      <c r="E22" s="0" t="n">
        <v>15</v>
      </c>
      <c r="G22" s="0" t="s">
        <v>959</v>
      </c>
      <c r="H22" s="0" t="s">
        <v>1008</v>
      </c>
      <c r="I22" s="0" t="s">
        <v>1009</v>
      </c>
      <c r="J22" s="0" t="s">
        <v>1010</v>
      </c>
      <c r="K22" s="0" t="s">
        <v>891</v>
      </c>
      <c r="L22" s="0" t="s">
        <v>1011</v>
      </c>
      <c r="M22" s="0" t="s">
        <v>874</v>
      </c>
    </row>
    <row r="23" customFormat="false" ht="15" hidden="false" customHeight="false" outlineLevel="0" collapsed="false">
      <c r="A23" s="0" t="n">
        <v>127</v>
      </c>
      <c r="B23" s="0" t="s">
        <v>1012</v>
      </c>
      <c r="C23" s="0" t="s">
        <v>1013</v>
      </c>
      <c r="D23" s="0" t="n">
        <v>21</v>
      </c>
      <c r="E23" s="0" t="n">
        <v>16</v>
      </c>
      <c r="G23" s="0" t="s">
        <v>1014</v>
      </c>
      <c r="H23" s="0" t="s">
        <v>1015</v>
      </c>
      <c r="I23" s="0" t="s">
        <v>1016</v>
      </c>
      <c r="J23" s="0" t="s">
        <v>1017</v>
      </c>
      <c r="K23" s="0" t="s">
        <v>891</v>
      </c>
      <c r="L23" s="0" t="s">
        <v>1018</v>
      </c>
      <c r="M23" s="0" t="s">
        <v>874</v>
      </c>
    </row>
    <row r="24" customFormat="false" ht="15" hidden="false" customHeight="false" outlineLevel="0" collapsed="false">
      <c r="A24" s="0" t="n">
        <v>93</v>
      </c>
      <c r="B24" s="0" t="s">
        <v>1019</v>
      </c>
      <c r="C24" s="0" t="s">
        <v>1020</v>
      </c>
      <c r="D24" s="0" t="n">
        <v>20</v>
      </c>
      <c r="E24" s="0" t="n">
        <v>17</v>
      </c>
      <c r="G24" s="0" t="s">
        <v>959</v>
      </c>
      <c r="H24" s="0" t="s">
        <v>344</v>
      </c>
      <c r="I24" s="0" t="s">
        <v>1021</v>
      </c>
      <c r="J24" s="0" t="s">
        <v>1022</v>
      </c>
      <c r="K24" s="0" t="s">
        <v>1023</v>
      </c>
      <c r="L24" s="0" t="s">
        <v>1024</v>
      </c>
      <c r="M24" s="0" t="s">
        <v>874</v>
      </c>
    </row>
    <row r="25" customFormat="false" ht="15" hidden="false" customHeight="false" outlineLevel="0" collapsed="false">
      <c r="A25" s="0" t="n">
        <v>498</v>
      </c>
      <c r="B25" s="0" t="s">
        <v>1025</v>
      </c>
      <c r="C25" s="0" t="s">
        <v>1026</v>
      </c>
      <c r="D25" s="0" t="n">
        <v>22</v>
      </c>
      <c r="E25" s="0" t="n">
        <v>17</v>
      </c>
      <c r="G25" s="0" t="s">
        <v>1014</v>
      </c>
      <c r="I25" s="0" t="s">
        <v>1027</v>
      </c>
      <c r="J25" s="0" t="s">
        <v>1028</v>
      </c>
      <c r="K25" s="0" t="s">
        <v>1029</v>
      </c>
      <c r="L25" s="0" t="s">
        <v>1030</v>
      </c>
      <c r="M25" s="0" t="s">
        <v>652</v>
      </c>
    </row>
    <row r="26" customFormat="false" ht="15" hidden="false" customHeight="false" outlineLevel="0" collapsed="false">
      <c r="A26" s="0" t="n">
        <v>90</v>
      </c>
      <c r="B26" s="0" t="s">
        <v>130</v>
      </c>
      <c r="C26" s="0" t="s">
        <v>1031</v>
      </c>
      <c r="D26" s="0" t="n">
        <v>25</v>
      </c>
      <c r="E26" s="0" t="n">
        <v>18</v>
      </c>
      <c r="G26" s="0" t="s">
        <v>959</v>
      </c>
      <c r="H26" s="0" t="s">
        <v>1032</v>
      </c>
      <c r="I26" s="0" t="s">
        <v>1033</v>
      </c>
      <c r="J26" s="0" t="s">
        <v>1022</v>
      </c>
      <c r="K26" s="0" t="s">
        <v>1023</v>
      </c>
      <c r="L26" s="0" t="s">
        <v>1024</v>
      </c>
      <c r="M26" s="0" t="s">
        <v>874</v>
      </c>
    </row>
    <row r="27" customFormat="false" ht="15" hidden="false" customHeight="false" outlineLevel="0" collapsed="false">
      <c r="A27" s="0" t="n">
        <v>471</v>
      </c>
      <c r="B27" s="0" t="s">
        <v>1034</v>
      </c>
      <c r="C27" s="0" t="s">
        <v>1035</v>
      </c>
      <c r="D27" s="0" t="n">
        <v>26</v>
      </c>
      <c r="E27" s="0" t="n">
        <v>18</v>
      </c>
      <c r="G27" s="0" t="s">
        <v>1014</v>
      </c>
      <c r="H27" s="0" t="s">
        <v>1036</v>
      </c>
      <c r="I27" s="0" t="s">
        <v>1037</v>
      </c>
      <c r="J27" s="0" t="s">
        <v>1038</v>
      </c>
      <c r="K27" s="0" t="s">
        <v>1039</v>
      </c>
      <c r="L27" s="0" t="s">
        <v>1040</v>
      </c>
      <c r="M27" s="0" t="s">
        <v>874</v>
      </c>
    </row>
    <row r="28" customFormat="false" ht="15" hidden="false" customHeight="false" outlineLevel="0" collapsed="false">
      <c r="A28" s="0" t="n">
        <v>8615</v>
      </c>
      <c r="B28" s="0" t="s">
        <v>1041</v>
      </c>
      <c r="C28" s="0" t="s">
        <v>1042</v>
      </c>
      <c r="D28" s="0" t="n">
        <v>60</v>
      </c>
      <c r="E28" s="0" t="n">
        <v>20</v>
      </c>
      <c r="G28" s="0" t="s">
        <v>918</v>
      </c>
      <c r="H28" s="0" t="s">
        <v>237</v>
      </c>
      <c r="J28" s="0" t="s">
        <v>939</v>
      </c>
      <c r="K28" s="0" t="s">
        <v>730</v>
      </c>
      <c r="L28" s="0" t="s">
        <v>940</v>
      </c>
      <c r="M28" s="0" t="s">
        <v>920</v>
      </c>
    </row>
    <row r="29" customFormat="false" ht="15" hidden="false" customHeight="false" outlineLevel="0" collapsed="false">
      <c r="A29" s="0" t="n">
        <v>150</v>
      </c>
      <c r="B29" s="0" t="s">
        <v>1043</v>
      </c>
      <c r="C29" s="0" t="s">
        <v>1044</v>
      </c>
      <c r="D29" s="0" t="n">
        <v>20</v>
      </c>
      <c r="E29" s="0" t="n">
        <v>20</v>
      </c>
      <c r="G29" s="0" t="s">
        <v>918</v>
      </c>
      <c r="H29" s="0" t="s">
        <v>335</v>
      </c>
      <c r="J29" s="0" t="s">
        <v>1017</v>
      </c>
      <c r="K29" s="0" t="s">
        <v>891</v>
      </c>
      <c r="L29" s="0" t="s">
        <v>1018</v>
      </c>
      <c r="M29" s="0" t="s">
        <v>874</v>
      </c>
    </row>
    <row r="30" customFormat="false" ht="15" hidden="false" customHeight="false" outlineLevel="0" collapsed="false">
      <c r="A30" s="0" t="n">
        <v>501</v>
      </c>
      <c r="B30" s="0" t="s">
        <v>1045</v>
      </c>
      <c r="C30" s="0" t="s">
        <v>1046</v>
      </c>
      <c r="D30" s="0" t="n">
        <v>24</v>
      </c>
      <c r="E30" s="0" t="n">
        <v>21</v>
      </c>
      <c r="G30" s="0" t="s">
        <v>1014</v>
      </c>
      <c r="H30" s="0" t="s">
        <v>1047</v>
      </c>
      <c r="I30" s="0" t="s">
        <v>1048</v>
      </c>
      <c r="J30" s="0" t="s">
        <v>1049</v>
      </c>
      <c r="K30" s="0" t="s">
        <v>1029</v>
      </c>
      <c r="L30" s="0" t="s">
        <v>1050</v>
      </c>
      <c r="M30" s="0" t="s">
        <v>652</v>
      </c>
    </row>
    <row r="31" customFormat="false" ht="15" hidden="false" customHeight="false" outlineLevel="0" collapsed="false">
      <c r="A31" s="0" t="n">
        <v>296</v>
      </c>
      <c r="B31" s="0" t="s">
        <v>1051</v>
      </c>
      <c r="C31" s="0" t="s">
        <v>1052</v>
      </c>
      <c r="D31" s="0" t="n">
        <v>29</v>
      </c>
      <c r="E31" s="0" t="n">
        <v>22</v>
      </c>
      <c r="G31" s="0" t="s">
        <v>1014</v>
      </c>
      <c r="H31" s="0" t="s">
        <v>1053</v>
      </c>
      <c r="I31" s="0" t="s">
        <v>1054</v>
      </c>
      <c r="J31" s="0" t="s">
        <v>1055</v>
      </c>
      <c r="K31" s="0" t="s">
        <v>1039</v>
      </c>
      <c r="L31" s="0" t="s">
        <v>1056</v>
      </c>
      <c r="M31" s="0" t="s">
        <v>874</v>
      </c>
    </row>
    <row r="32" customFormat="false" ht="15" hidden="false" customHeight="false" outlineLevel="0" collapsed="false">
      <c r="A32" s="0" t="n">
        <v>555</v>
      </c>
      <c r="B32" s="0" t="s">
        <v>183</v>
      </c>
      <c r="C32" s="0" t="s">
        <v>1057</v>
      </c>
      <c r="D32" s="0" t="n">
        <v>31</v>
      </c>
      <c r="E32" s="0" t="n">
        <v>28</v>
      </c>
      <c r="G32" s="0" t="s">
        <v>959</v>
      </c>
      <c r="H32" s="0" t="s">
        <v>1058</v>
      </c>
      <c r="I32" s="0" t="s">
        <v>1059</v>
      </c>
      <c r="J32" s="0" t="s">
        <v>1060</v>
      </c>
      <c r="K32" s="0" t="s">
        <v>1029</v>
      </c>
      <c r="L32" s="0" t="s">
        <v>1061</v>
      </c>
      <c r="M32" s="0" t="s">
        <v>874</v>
      </c>
    </row>
    <row r="33" customFormat="false" ht="15" hidden="false" customHeight="false" outlineLevel="0" collapsed="false">
      <c r="A33" s="0" t="n">
        <v>7321</v>
      </c>
      <c r="B33" s="0" t="s">
        <v>183</v>
      </c>
      <c r="C33" s="0" t="s">
        <v>1057</v>
      </c>
      <c r="D33" s="0" t="n">
        <v>31</v>
      </c>
      <c r="E33" s="0" t="n">
        <v>28</v>
      </c>
      <c r="F33" s="0" t="n">
        <v>1</v>
      </c>
      <c r="G33" s="0" t="s">
        <v>951</v>
      </c>
      <c r="H33" s="0" t="s">
        <v>1058</v>
      </c>
      <c r="I33" s="0" t="s">
        <v>1059</v>
      </c>
      <c r="J33" s="0" t="s">
        <v>1062</v>
      </c>
      <c r="K33" s="0" t="s">
        <v>1029</v>
      </c>
      <c r="L33" s="0" t="s">
        <v>1063</v>
      </c>
      <c r="M33" s="0" t="s">
        <v>652</v>
      </c>
    </row>
    <row r="34" customFormat="false" ht="15" hidden="false" customHeight="false" outlineLevel="0" collapsed="false">
      <c r="A34" s="0" t="n">
        <v>1218</v>
      </c>
      <c r="B34" s="0" t="s">
        <v>277</v>
      </c>
      <c r="C34" s="0" t="s">
        <v>1064</v>
      </c>
      <c r="D34" s="0" t="n">
        <v>35</v>
      </c>
      <c r="E34" s="0" t="n">
        <v>30</v>
      </c>
      <c r="G34" s="0" t="s">
        <v>918</v>
      </c>
      <c r="H34" s="0" t="s">
        <v>277</v>
      </c>
      <c r="J34" s="0" t="s">
        <v>1065</v>
      </c>
      <c r="K34" s="0" t="s">
        <v>1066</v>
      </c>
      <c r="L34" s="0" t="s">
        <v>1067</v>
      </c>
      <c r="M34" s="0" t="s">
        <v>920</v>
      </c>
    </row>
    <row r="35" customFormat="false" ht="15" hidden="false" customHeight="false" outlineLevel="0" collapsed="false">
      <c r="A35" s="0" t="n">
        <v>564</v>
      </c>
      <c r="B35" s="0" t="s">
        <v>1068</v>
      </c>
      <c r="C35" s="0" t="s">
        <v>1069</v>
      </c>
      <c r="D35" s="0" t="n">
        <v>34</v>
      </c>
      <c r="E35" s="0" t="n">
        <v>30</v>
      </c>
      <c r="G35" s="0" t="s">
        <v>1014</v>
      </c>
      <c r="I35" s="0" t="s">
        <v>1070</v>
      </c>
      <c r="J35" s="0" t="s">
        <v>1071</v>
      </c>
      <c r="K35" s="0" t="s">
        <v>1029</v>
      </c>
      <c r="L35" s="0" t="s">
        <v>1072</v>
      </c>
      <c r="M35" s="0" t="s">
        <v>874</v>
      </c>
    </row>
    <row r="36" customFormat="false" ht="15" hidden="false" customHeight="false" outlineLevel="0" collapsed="false">
      <c r="A36" s="0" t="n">
        <v>703</v>
      </c>
      <c r="B36" s="0" t="s">
        <v>1073</v>
      </c>
      <c r="C36" s="0" t="s">
        <v>1074</v>
      </c>
      <c r="D36" s="0" t="n">
        <v>40</v>
      </c>
      <c r="E36" s="0" t="n">
        <v>33</v>
      </c>
      <c r="G36" s="0" t="s">
        <v>959</v>
      </c>
      <c r="H36" s="0" t="s">
        <v>358</v>
      </c>
      <c r="I36" s="0" t="s">
        <v>1075</v>
      </c>
      <c r="J36" s="0" t="s">
        <v>1076</v>
      </c>
      <c r="K36" s="0" t="s">
        <v>1077</v>
      </c>
      <c r="L36" s="0" t="s">
        <v>1078</v>
      </c>
      <c r="M36" s="0" t="s">
        <v>920</v>
      </c>
    </row>
    <row r="37" customFormat="false" ht="15" hidden="false" customHeight="false" outlineLevel="0" collapsed="false">
      <c r="A37" s="0" t="n">
        <v>8526</v>
      </c>
      <c r="B37" s="0" t="s">
        <v>1079</v>
      </c>
      <c r="C37" s="0" t="s">
        <v>1080</v>
      </c>
      <c r="D37" s="0" t="n">
        <v>60</v>
      </c>
      <c r="E37" s="0" t="n">
        <v>33</v>
      </c>
      <c r="G37" s="0" t="s">
        <v>918</v>
      </c>
      <c r="H37" s="0" t="s">
        <v>188</v>
      </c>
      <c r="J37" s="0" t="s">
        <v>927</v>
      </c>
      <c r="K37" s="0" t="s">
        <v>888</v>
      </c>
      <c r="L37" s="0" t="s">
        <v>928</v>
      </c>
      <c r="M37" s="0" t="s">
        <v>920</v>
      </c>
    </row>
    <row r="38" customFormat="false" ht="15" hidden="false" customHeight="false" outlineLevel="0" collapsed="false">
      <c r="A38" s="0" t="n">
        <v>6612</v>
      </c>
      <c r="B38" s="0" t="s">
        <v>1081</v>
      </c>
      <c r="C38" s="0" t="s">
        <v>1082</v>
      </c>
      <c r="D38" s="0" t="n">
        <v>45</v>
      </c>
      <c r="E38" s="0" t="n">
        <v>35</v>
      </c>
      <c r="F38" s="0" t="n">
        <v>225</v>
      </c>
      <c r="G38" s="0" t="s">
        <v>1083</v>
      </c>
      <c r="J38" s="0" t="s">
        <v>887</v>
      </c>
      <c r="K38" s="0" t="s">
        <v>888</v>
      </c>
      <c r="L38" s="0" t="s">
        <v>889</v>
      </c>
      <c r="M38" s="0" t="s">
        <v>874</v>
      </c>
    </row>
    <row r="39" customFormat="false" ht="15" hidden="false" customHeight="false" outlineLevel="0" collapsed="false">
      <c r="A39" s="0" t="n">
        <v>6610</v>
      </c>
      <c r="B39" s="0" t="s">
        <v>1084</v>
      </c>
      <c r="C39" s="0" t="s">
        <v>1085</v>
      </c>
      <c r="D39" s="0" t="n">
        <v>45</v>
      </c>
      <c r="E39" s="0" t="n">
        <v>35</v>
      </c>
      <c r="F39" s="0" t="n">
        <v>225</v>
      </c>
      <c r="G39" s="0" t="s">
        <v>1086</v>
      </c>
      <c r="H39" s="0" t="s">
        <v>1087</v>
      </c>
      <c r="J39" s="0" t="s">
        <v>1088</v>
      </c>
      <c r="K39" s="0" t="s">
        <v>419</v>
      </c>
      <c r="L39" s="0" t="s">
        <v>1089</v>
      </c>
      <c r="M39" s="0" t="s">
        <v>920</v>
      </c>
    </row>
    <row r="40" customFormat="false" ht="15" hidden="false" customHeight="false" outlineLevel="0" collapsed="false">
      <c r="A40" s="0" t="n">
        <v>6611</v>
      </c>
      <c r="B40" s="0" t="s">
        <v>1090</v>
      </c>
      <c r="C40" s="0" t="s">
        <v>1091</v>
      </c>
      <c r="D40" s="0" t="n">
        <v>45</v>
      </c>
      <c r="E40" s="0" t="n">
        <v>35</v>
      </c>
      <c r="F40" s="0" t="n">
        <v>225</v>
      </c>
      <c r="G40" s="0" t="s">
        <v>1083</v>
      </c>
      <c r="J40" s="0" t="s">
        <v>854</v>
      </c>
      <c r="K40" s="0" t="s">
        <v>730</v>
      </c>
      <c r="L40" s="0" t="s">
        <v>898</v>
      </c>
      <c r="M40" s="0" t="s">
        <v>652</v>
      </c>
    </row>
    <row r="41" customFormat="false" ht="15" hidden="false" customHeight="false" outlineLevel="0" collapsed="false">
      <c r="A41" s="0" t="n">
        <v>8799</v>
      </c>
      <c r="B41" s="0" t="s">
        <v>1092</v>
      </c>
      <c r="C41" s="0" t="s">
        <v>1093</v>
      </c>
      <c r="D41" s="0" t="n">
        <v>60</v>
      </c>
      <c r="E41" s="0" t="n">
        <v>40</v>
      </c>
      <c r="F41" s="0" t="n">
        <v>300</v>
      </c>
      <c r="G41" s="0" t="s">
        <v>1086</v>
      </c>
      <c r="H41" s="0" t="s">
        <v>387</v>
      </c>
      <c r="J41" s="0" t="s">
        <v>1094</v>
      </c>
      <c r="K41" s="0" t="s">
        <v>730</v>
      </c>
      <c r="L41" s="0" t="s">
        <v>1095</v>
      </c>
      <c r="M41" s="0" t="s">
        <v>652</v>
      </c>
    </row>
    <row r="42" customFormat="false" ht="15" hidden="false" customHeight="false" outlineLevel="0" collapsed="false">
      <c r="A42" s="0" t="n">
        <v>8763</v>
      </c>
      <c r="B42" s="0" t="s">
        <v>1092</v>
      </c>
      <c r="C42" s="0" t="s">
        <v>1093</v>
      </c>
      <c r="D42" s="0" t="n">
        <v>60</v>
      </c>
      <c r="E42" s="0" t="n">
        <v>40</v>
      </c>
      <c r="F42" s="0" t="n">
        <v>300</v>
      </c>
      <c r="G42" s="0" t="s">
        <v>1086</v>
      </c>
      <c r="H42" s="0" t="s">
        <v>387</v>
      </c>
      <c r="J42" s="0" t="s">
        <v>1096</v>
      </c>
      <c r="K42" s="0" t="s">
        <v>888</v>
      </c>
      <c r="L42" s="0" t="s">
        <v>1097</v>
      </c>
      <c r="M42" s="0" t="s">
        <v>874</v>
      </c>
    </row>
    <row r="43" customFormat="false" ht="15" hidden="false" customHeight="false" outlineLevel="0" collapsed="false">
      <c r="A43" s="0" t="n">
        <v>8528</v>
      </c>
      <c r="B43" s="0" t="s">
        <v>1098</v>
      </c>
      <c r="C43" s="0" t="s">
        <v>1099</v>
      </c>
      <c r="D43" s="0" t="n">
        <v>60</v>
      </c>
      <c r="E43" s="0" t="n">
        <v>42</v>
      </c>
      <c r="G43" s="0" t="s">
        <v>918</v>
      </c>
      <c r="H43" s="0" t="s">
        <v>224</v>
      </c>
      <c r="J43" s="0" t="s">
        <v>923</v>
      </c>
      <c r="K43" s="0" t="s">
        <v>888</v>
      </c>
      <c r="L43" s="0" t="s">
        <v>924</v>
      </c>
      <c r="M43" s="0" t="s">
        <v>920</v>
      </c>
    </row>
    <row r="44" customFormat="false" ht="15" hidden="false" customHeight="false" outlineLevel="0" collapsed="false">
      <c r="A44" s="0" t="n">
        <v>8611</v>
      </c>
      <c r="B44" s="0" t="s">
        <v>1100</v>
      </c>
      <c r="C44" s="0" t="s">
        <v>1101</v>
      </c>
      <c r="D44" s="0" t="n">
        <v>60</v>
      </c>
      <c r="E44" s="0" t="n">
        <v>49</v>
      </c>
      <c r="G44" s="0" t="s">
        <v>918</v>
      </c>
      <c r="H44" s="0" t="s">
        <v>148</v>
      </c>
      <c r="J44" s="0" t="s">
        <v>943</v>
      </c>
      <c r="K44" s="0" t="s">
        <v>730</v>
      </c>
      <c r="L44" s="0" t="s">
        <v>944</v>
      </c>
      <c r="M44" s="0" t="s">
        <v>920</v>
      </c>
    </row>
    <row r="45" customFormat="false" ht="15" hidden="false" customHeight="false" outlineLevel="0" collapsed="false">
      <c r="A45" s="0" t="n">
        <v>8613</v>
      </c>
      <c r="B45" s="0" t="s">
        <v>1102</v>
      </c>
      <c r="C45" s="0" t="s">
        <v>1103</v>
      </c>
      <c r="D45" s="0" t="n">
        <v>60</v>
      </c>
      <c r="E45" s="0" t="n">
        <v>52</v>
      </c>
      <c r="G45" s="0" t="s">
        <v>918</v>
      </c>
      <c r="H45" s="0" t="s">
        <v>224</v>
      </c>
      <c r="J45" s="0" t="s">
        <v>935</v>
      </c>
      <c r="K45" s="0" t="s">
        <v>730</v>
      </c>
      <c r="L45" s="0" t="s">
        <v>936</v>
      </c>
      <c r="M45" s="0" t="s">
        <v>920</v>
      </c>
    </row>
    <row r="46" customFormat="false" ht="15" hidden="false" customHeight="false" outlineLevel="0" collapsed="false">
      <c r="A46" s="0" t="n">
        <v>8524</v>
      </c>
      <c r="B46" s="0" t="s">
        <v>1104</v>
      </c>
      <c r="C46" s="0" t="s">
        <v>1105</v>
      </c>
      <c r="D46" s="0" t="n">
        <v>60</v>
      </c>
      <c r="E46" s="0" t="n">
        <v>54</v>
      </c>
      <c r="G46" s="0" t="s">
        <v>918</v>
      </c>
      <c r="H46" s="0" t="s">
        <v>98</v>
      </c>
      <c r="J46" s="0" t="s">
        <v>931</v>
      </c>
      <c r="K46" s="0" t="s">
        <v>888</v>
      </c>
      <c r="L46" s="0" t="s">
        <v>932</v>
      </c>
      <c r="M46" s="0" t="s">
        <v>920</v>
      </c>
    </row>
    <row r="47" customFormat="false" ht="15" hidden="false" customHeight="false" outlineLevel="0" collapsed="false">
      <c r="A47" s="0" t="n">
        <v>8313</v>
      </c>
      <c r="B47" s="0" t="s">
        <v>1106</v>
      </c>
      <c r="C47" s="0" t="s">
        <v>1107</v>
      </c>
      <c r="D47" s="0" t="n">
        <v>57</v>
      </c>
      <c r="E47" s="0" t="n">
        <v>54</v>
      </c>
      <c r="F47" s="0" t="n">
        <v>285</v>
      </c>
      <c r="G47" s="0" t="s">
        <v>1083</v>
      </c>
      <c r="M47" s="0" t="s">
        <v>920</v>
      </c>
    </row>
    <row r="48" customFormat="false" ht="15" hidden="false" customHeight="false" outlineLevel="0" collapsed="false">
      <c r="A48" s="0" t="n">
        <v>8307</v>
      </c>
      <c r="B48" s="0" t="s">
        <v>1108</v>
      </c>
      <c r="C48" s="0" t="s">
        <v>1109</v>
      </c>
      <c r="D48" s="0" t="n">
        <v>57</v>
      </c>
      <c r="E48" s="0" t="n">
        <v>54</v>
      </c>
      <c r="F48" s="0" t="n">
        <v>285</v>
      </c>
      <c r="G48" s="0" t="s">
        <v>1083</v>
      </c>
      <c r="J48" s="0" t="s">
        <v>1110</v>
      </c>
      <c r="K48" s="0" t="s">
        <v>542</v>
      </c>
      <c r="L48" s="0" t="s">
        <v>1111</v>
      </c>
      <c r="M48" s="0" t="s">
        <v>920</v>
      </c>
    </row>
    <row r="49" customFormat="false" ht="15" hidden="false" customHeight="false" outlineLevel="0" collapsed="false">
      <c r="A49" s="0" t="n">
        <v>8317</v>
      </c>
      <c r="B49" s="0" t="s">
        <v>1112</v>
      </c>
      <c r="C49" s="0" t="s">
        <v>1113</v>
      </c>
      <c r="D49" s="0" t="n">
        <v>57</v>
      </c>
      <c r="E49" s="0" t="n">
        <v>54</v>
      </c>
      <c r="F49" s="0" t="n">
        <v>285</v>
      </c>
      <c r="G49" s="0" t="s">
        <v>1086</v>
      </c>
      <c r="H49" s="0" t="s">
        <v>239</v>
      </c>
      <c r="J49" s="0" t="s">
        <v>1110</v>
      </c>
      <c r="K49" s="0" t="s">
        <v>542</v>
      </c>
      <c r="L49" s="0" t="s">
        <v>1111</v>
      </c>
      <c r="M49" s="0" t="s">
        <v>920</v>
      </c>
    </row>
    <row r="50" customFormat="false" ht="15" hidden="false" customHeight="false" outlineLevel="0" collapsed="false">
      <c r="A50" s="0" t="n">
        <v>8804</v>
      </c>
      <c r="B50" s="0" t="s">
        <v>1114</v>
      </c>
      <c r="C50" s="0" t="s">
        <v>1115</v>
      </c>
      <c r="D50" s="0" t="n">
        <v>60</v>
      </c>
      <c r="E50" s="0" t="n">
        <v>55</v>
      </c>
      <c r="G50" s="0" t="s">
        <v>918</v>
      </c>
      <c r="H50" s="0" t="s">
        <v>1116</v>
      </c>
      <c r="M50" s="0" t="s">
        <v>652</v>
      </c>
    </row>
    <row r="51" customFormat="false" ht="15" hidden="false" customHeight="false" outlineLevel="0" collapsed="false">
      <c r="A51" s="0" t="n">
        <v>8585</v>
      </c>
      <c r="B51" s="0" t="s">
        <v>1117</v>
      </c>
      <c r="C51" s="0" t="s">
        <v>1118</v>
      </c>
      <c r="D51" s="0" t="n">
        <v>60</v>
      </c>
      <c r="E51" s="0" t="n">
        <v>60</v>
      </c>
      <c r="G51" s="0" t="s">
        <v>918</v>
      </c>
      <c r="H51" s="0" t="s">
        <v>1119</v>
      </c>
      <c r="J51" s="0" t="s">
        <v>1088</v>
      </c>
      <c r="K51" s="0" t="s">
        <v>419</v>
      </c>
      <c r="L51" s="0" t="s">
        <v>1089</v>
      </c>
      <c r="M51" s="0" t="s">
        <v>920</v>
      </c>
    </row>
    <row r="52" customFormat="false" ht="15" hidden="false" customHeight="false" outlineLevel="0" collapsed="false">
      <c r="A52" s="0" t="n">
        <v>8778</v>
      </c>
      <c r="B52" s="0" t="s">
        <v>1120</v>
      </c>
      <c r="C52" s="0" t="s">
        <v>1121</v>
      </c>
      <c r="D52" s="0" t="n">
        <v>60</v>
      </c>
      <c r="E52" s="0" t="n">
        <v>60</v>
      </c>
      <c r="G52" s="0" t="s">
        <v>918</v>
      </c>
      <c r="H52" s="0" t="s">
        <v>1122</v>
      </c>
      <c r="M52" s="0" t="s">
        <v>874</v>
      </c>
    </row>
    <row r="53" customFormat="false" ht="15" hidden="false" customHeight="false" outlineLevel="0" collapsed="false">
      <c r="A53" s="0" t="n">
        <v>8586</v>
      </c>
      <c r="B53" s="0" t="s">
        <v>241</v>
      </c>
      <c r="C53" s="0" t="s">
        <v>1123</v>
      </c>
      <c r="D53" s="0" t="n">
        <v>60</v>
      </c>
      <c r="E53" s="0" t="n">
        <v>60</v>
      </c>
      <c r="G53" s="0" t="s">
        <v>959</v>
      </c>
      <c r="H53" s="0" t="s">
        <v>1124</v>
      </c>
      <c r="I53" s="0" t="s">
        <v>1125</v>
      </c>
      <c r="J53" s="0" t="s">
        <v>1088</v>
      </c>
      <c r="K53" s="0" t="s">
        <v>419</v>
      </c>
      <c r="L53" s="0" t="s">
        <v>1089</v>
      </c>
      <c r="M53" s="0" t="s">
        <v>920</v>
      </c>
    </row>
    <row r="54" customFormat="false" ht="15" hidden="false" customHeight="false" outlineLevel="0" collapsed="false">
      <c r="A54" s="0" t="n">
        <v>8856</v>
      </c>
      <c r="B54" s="0" t="s">
        <v>1114</v>
      </c>
      <c r="C54" s="0" t="s">
        <v>1115</v>
      </c>
      <c r="D54" s="0" t="n">
        <v>0</v>
      </c>
      <c r="E54" s="0" t="n">
        <v>60</v>
      </c>
      <c r="G54" s="0" t="s">
        <v>918</v>
      </c>
      <c r="H54" s="0" t="s">
        <v>1116</v>
      </c>
      <c r="M54" s="0" t="s">
        <v>920</v>
      </c>
    </row>
    <row r="55" customFormat="false" ht="15" hidden="false" customHeight="false" outlineLevel="0" collapsed="false">
      <c r="A55" s="0" t="n">
        <v>8497</v>
      </c>
      <c r="B55" s="0" t="s">
        <v>1114</v>
      </c>
      <c r="C55" s="0" t="s">
        <v>1115</v>
      </c>
      <c r="D55" s="0" t="n">
        <v>60</v>
      </c>
      <c r="E55" s="0" t="n">
        <v>60</v>
      </c>
      <c r="G55" s="0" t="s">
        <v>918</v>
      </c>
      <c r="H55" s="0" t="s">
        <v>1116</v>
      </c>
      <c r="M55" s="0" t="s">
        <v>874</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79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3" min="1" style="0" width="12"/>
    <col collapsed="false" customWidth="true" hidden="false" outlineLevel="0" max="4" min="4" style="0" width="20"/>
    <col collapsed="false" customWidth="true" hidden="false" outlineLevel="0" max="8" min="5" style="0" width="12"/>
    <col collapsed="false" customWidth="true" hidden="false" outlineLevel="0" max="9" min="9" style="0" width="13"/>
    <col collapsed="false" customWidth="true" hidden="false" outlineLevel="0" max="10" min="10" style="0" width="12"/>
  </cols>
  <sheetData>
    <row r="1" customFormat="false" ht="15" hidden="false" customHeight="false" outlineLevel="0" collapsed="false">
      <c r="A1" s="24" t="s">
        <v>1126</v>
      </c>
      <c r="B1" s="24" t="s">
        <v>1127</v>
      </c>
      <c r="C1" s="24" t="s">
        <v>1128</v>
      </c>
      <c r="D1" s="24" t="s">
        <v>1129</v>
      </c>
      <c r="E1" s="24" t="s">
        <v>863</v>
      </c>
      <c r="F1" s="24" t="s">
        <v>1130</v>
      </c>
      <c r="G1" s="24" t="s">
        <v>1131</v>
      </c>
      <c r="H1" s="24" t="s">
        <v>641</v>
      </c>
      <c r="I1" s="24" t="s">
        <v>867</v>
      </c>
      <c r="J1" s="24" t="s">
        <v>643</v>
      </c>
    </row>
    <row r="2" customFormat="false" ht="15" hidden="false" customHeight="false" outlineLevel="0" collapsed="false">
      <c r="A2" s="0" t="s">
        <v>1132</v>
      </c>
      <c r="B2" s="0" t="n">
        <v>159</v>
      </c>
      <c r="C2" s="0" t="s">
        <v>293</v>
      </c>
      <c r="E2" s="0" t="n">
        <v>12196</v>
      </c>
      <c r="F2" s="0" t="s">
        <v>1133</v>
      </c>
      <c r="G2" s="0" t="s">
        <v>1134</v>
      </c>
      <c r="H2" s="0" t="s">
        <v>409</v>
      </c>
      <c r="I2" s="0" t="s">
        <v>1135</v>
      </c>
      <c r="J2" s="0" t="s">
        <v>652</v>
      </c>
    </row>
    <row r="3" customFormat="false" ht="15" hidden="false" customHeight="false" outlineLevel="0" collapsed="false">
      <c r="A3" s="0" t="s">
        <v>1132</v>
      </c>
      <c r="B3" s="0" t="n">
        <v>1179</v>
      </c>
      <c r="C3" s="0" t="s">
        <v>308</v>
      </c>
      <c r="E3" s="0" t="n">
        <v>12196</v>
      </c>
      <c r="F3" s="0" t="s">
        <v>1133</v>
      </c>
      <c r="G3" s="0" t="s">
        <v>1134</v>
      </c>
      <c r="H3" s="0" t="s">
        <v>409</v>
      </c>
      <c r="I3" s="0" t="s">
        <v>1135</v>
      </c>
      <c r="J3" s="0" t="s">
        <v>652</v>
      </c>
    </row>
    <row r="4" customFormat="false" ht="15" hidden="false" customHeight="false" outlineLevel="0" collapsed="false">
      <c r="A4" s="0" t="s">
        <v>1132</v>
      </c>
      <c r="B4" s="0" t="n">
        <v>3713</v>
      </c>
      <c r="C4" s="0" t="s">
        <v>277</v>
      </c>
      <c r="E4" s="0" t="n">
        <v>3954</v>
      </c>
      <c r="F4" s="0" t="s">
        <v>1136</v>
      </c>
      <c r="G4" s="0" t="s">
        <v>1137</v>
      </c>
      <c r="H4" s="0" t="s">
        <v>409</v>
      </c>
      <c r="I4" s="0" t="s">
        <v>1138</v>
      </c>
      <c r="J4" s="0" t="s">
        <v>874</v>
      </c>
    </row>
    <row r="5" customFormat="false" ht="15" hidden="false" customHeight="false" outlineLevel="0" collapsed="false">
      <c r="A5" s="0" t="s">
        <v>1132</v>
      </c>
      <c r="B5" s="0" t="n">
        <v>2678</v>
      </c>
      <c r="C5" s="0" t="s">
        <v>271</v>
      </c>
      <c r="E5" s="0" t="n">
        <v>3954</v>
      </c>
      <c r="F5" s="0" t="s">
        <v>1136</v>
      </c>
      <c r="G5" s="0" t="s">
        <v>1137</v>
      </c>
      <c r="H5" s="0" t="s">
        <v>409</v>
      </c>
      <c r="I5" s="0" t="s">
        <v>1138</v>
      </c>
      <c r="J5" s="0" t="s">
        <v>874</v>
      </c>
    </row>
    <row r="6" customFormat="false" ht="15" hidden="false" customHeight="false" outlineLevel="0" collapsed="false">
      <c r="A6" s="0" t="s">
        <v>1132</v>
      </c>
      <c r="B6" s="0" t="n">
        <v>2692</v>
      </c>
      <c r="C6" s="0" t="s">
        <v>275</v>
      </c>
      <c r="E6" s="0" t="n">
        <v>3954</v>
      </c>
      <c r="F6" s="0" t="s">
        <v>1136</v>
      </c>
      <c r="G6" s="0" t="s">
        <v>1137</v>
      </c>
      <c r="H6" s="0" t="s">
        <v>409</v>
      </c>
      <c r="I6" s="0" t="s">
        <v>1138</v>
      </c>
      <c r="J6" s="0" t="s">
        <v>874</v>
      </c>
    </row>
    <row r="7" customFormat="false" ht="15" hidden="false" customHeight="false" outlineLevel="0" collapsed="false">
      <c r="A7" s="0" t="s">
        <v>1132</v>
      </c>
      <c r="B7" s="0" t="n">
        <v>4470</v>
      </c>
      <c r="C7" s="0" t="s">
        <v>292</v>
      </c>
      <c r="E7" s="0" t="n">
        <v>3962</v>
      </c>
      <c r="F7" s="0" t="s">
        <v>1139</v>
      </c>
      <c r="G7" s="0" t="s">
        <v>1140</v>
      </c>
      <c r="H7" s="0" t="s">
        <v>409</v>
      </c>
      <c r="I7" s="0" t="s">
        <v>1141</v>
      </c>
      <c r="J7" s="0" t="s">
        <v>874</v>
      </c>
    </row>
    <row r="8" customFormat="false" ht="15" hidden="false" customHeight="false" outlineLevel="0" collapsed="false">
      <c r="A8" s="0" t="s">
        <v>1132</v>
      </c>
      <c r="B8" s="0" t="n">
        <v>159</v>
      </c>
      <c r="C8" s="0" t="s">
        <v>293</v>
      </c>
      <c r="E8" s="0" t="n">
        <v>3962</v>
      </c>
      <c r="F8" s="0" t="s">
        <v>1139</v>
      </c>
      <c r="G8" s="0" t="s">
        <v>1140</v>
      </c>
      <c r="H8" s="0" t="s">
        <v>409</v>
      </c>
      <c r="I8" s="0" t="s">
        <v>1141</v>
      </c>
      <c r="J8" s="0" t="s">
        <v>874</v>
      </c>
    </row>
    <row r="9" customFormat="false" ht="15" hidden="false" customHeight="false" outlineLevel="0" collapsed="false">
      <c r="A9" s="0" t="s">
        <v>1132</v>
      </c>
      <c r="B9" s="0" t="n">
        <v>1179</v>
      </c>
      <c r="C9" s="0" t="s">
        <v>308</v>
      </c>
      <c r="E9" s="0" t="n">
        <v>3962</v>
      </c>
      <c r="F9" s="0" t="s">
        <v>1139</v>
      </c>
      <c r="G9" s="0" t="s">
        <v>1140</v>
      </c>
      <c r="H9" s="0" t="s">
        <v>409</v>
      </c>
      <c r="I9" s="0" t="s">
        <v>1141</v>
      </c>
      <c r="J9" s="0" t="s">
        <v>874</v>
      </c>
    </row>
    <row r="10" customFormat="false" ht="15" hidden="false" customHeight="false" outlineLevel="0" collapsed="false">
      <c r="A10" s="0" t="s">
        <v>1132</v>
      </c>
      <c r="B10" s="0" t="n">
        <v>159</v>
      </c>
      <c r="C10" s="0" t="s">
        <v>293</v>
      </c>
      <c r="E10" s="0" t="n">
        <v>6738</v>
      </c>
      <c r="F10" s="0" t="s">
        <v>1142</v>
      </c>
      <c r="G10" s="0" t="s">
        <v>1134</v>
      </c>
      <c r="H10" s="0" t="s">
        <v>409</v>
      </c>
      <c r="I10" s="0" t="s">
        <v>1143</v>
      </c>
      <c r="J10" s="0" t="s">
        <v>874</v>
      </c>
    </row>
    <row r="11" customFormat="false" ht="15" hidden="false" customHeight="false" outlineLevel="0" collapsed="false">
      <c r="A11" s="0" t="s">
        <v>1132</v>
      </c>
      <c r="B11" s="0" t="n">
        <v>1179</v>
      </c>
      <c r="C11" s="0" t="s">
        <v>308</v>
      </c>
      <c r="E11" s="0" t="n">
        <v>6738</v>
      </c>
      <c r="F11" s="0" t="s">
        <v>1142</v>
      </c>
      <c r="G11" s="0" t="s">
        <v>1134</v>
      </c>
      <c r="H11" s="0" t="s">
        <v>409</v>
      </c>
      <c r="I11" s="0" t="s">
        <v>1143</v>
      </c>
      <c r="J11" s="0" t="s">
        <v>874</v>
      </c>
    </row>
    <row r="12" customFormat="false" ht="15" hidden="false" customHeight="false" outlineLevel="0" collapsed="false">
      <c r="A12" s="0" t="s">
        <v>1132</v>
      </c>
      <c r="B12" s="0" t="n">
        <v>159</v>
      </c>
      <c r="C12" s="0" t="s">
        <v>293</v>
      </c>
      <c r="E12" s="0" t="n">
        <v>3961</v>
      </c>
      <c r="F12" s="0" t="s">
        <v>1144</v>
      </c>
      <c r="G12" s="0" t="s">
        <v>1145</v>
      </c>
      <c r="H12" s="0" t="s">
        <v>409</v>
      </c>
      <c r="I12" s="0" t="s">
        <v>1146</v>
      </c>
      <c r="J12" s="0" t="s">
        <v>874</v>
      </c>
    </row>
    <row r="13" customFormat="false" ht="15" hidden="false" customHeight="false" outlineLevel="0" collapsed="false">
      <c r="A13" s="0" t="s">
        <v>1132</v>
      </c>
      <c r="B13" s="0" t="n">
        <v>1179</v>
      </c>
      <c r="C13" s="0" t="s">
        <v>308</v>
      </c>
      <c r="E13" s="0" t="n">
        <v>3961</v>
      </c>
      <c r="F13" s="0" t="s">
        <v>1144</v>
      </c>
      <c r="G13" s="0" t="s">
        <v>1145</v>
      </c>
      <c r="H13" s="0" t="s">
        <v>409</v>
      </c>
      <c r="I13" s="0" t="s">
        <v>1146</v>
      </c>
      <c r="J13" s="0" t="s">
        <v>874</v>
      </c>
    </row>
    <row r="14" customFormat="false" ht="15" hidden="false" customHeight="false" outlineLevel="0" collapsed="false">
      <c r="A14" s="0" t="s">
        <v>1132</v>
      </c>
      <c r="B14" s="0" t="n">
        <v>4536</v>
      </c>
      <c r="C14" s="0" t="s">
        <v>316</v>
      </c>
      <c r="E14" s="0" t="n">
        <v>3961</v>
      </c>
      <c r="F14" s="0" t="s">
        <v>1144</v>
      </c>
      <c r="G14" s="0" t="s">
        <v>1145</v>
      </c>
      <c r="H14" s="0" t="s">
        <v>409</v>
      </c>
      <c r="I14" s="0" t="s">
        <v>1146</v>
      </c>
      <c r="J14" s="0" t="s">
        <v>874</v>
      </c>
    </row>
    <row r="15" customFormat="false" ht="15" hidden="false" customHeight="false" outlineLevel="0" collapsed="false">
      <c r="A15" s="0" t="s">
        <v>1132</v>
      </c>
      <c r="B15" s="0" t="n">
        <v>159</v>
      </c>
      <c r="C15" s="0" t="s">
        <v>293</v>
      </c>
      <c r="E15" s="0" t="n">
        <v>3959</v>
      </c>
      <c r="F15" s="0" t="s">
        <v>1147</v>
      </c>
      <c r="G15" s="0" t="s">
        <v>1148</v>
      </c>
      <c r="H15" s="0" t="s">
        <v>409</v>
      </c>
      <c r="I15" s="0" t="s">
        <v>1149</v>
      </c>
      <c r="J15" s="0" t="s">
        <v>874</v>
      </c>
    </row>
    <row r="16" customFormat="false" ht="15" hidden="false" customHeight="false" outlineLevel="0" collapsed="false">
      <c r="A16" s="0" t="s">
        <v>1132</v>
      </c>
      <c r="B16" s="0" t="n">
        <v>1179</v>
      </c>
      <c r="C16" s="0" t="s">
        <v>308</v>
      </c>
      <c r="E16" s="0" t="n">
        <v>3959</v>
      </c>
      <c r="F16" s="0" t="s">
        <v>1147</v>
      </c>
      <c r="G16" s="0" t="s">
        <v>1148</v>
      </c>
      <c r="H16" s="0" t="s">
        <v>409</v>
      </c>
      <c r="I16" s="0" t="s">
        <v>1149</v>
      </c>
      <c r="J16" s="0" t="s">
        <v>874</v>
      </c>
    </row>
    <row r="17" customFormat="false" ht="15" hidden="false" customHeight="false" outlineLevel="0" collapsed="false">
      <c r="A17" s="0" t="s">
        <v>1132</v>
      </c>
      <c r="B17" s="0" t="n">
        <v>3713</v>
      </c>
      <c r="C17" s="0" t="s">
        <v>277</v>
      </c>
      <c r="E17" s="0" t="n">
        <v>3955</v>
      </c>
      <c r="F17" s="0" t="s">
        <v>1150</v>
      </c>
      <c r="G17" s="0" t="s">
        <v>1137</v>
      </c>
      <c r="H17" s="0" t="s">
        <v>409</v>
      </c>
      <c r="I17" s="0" t="s">
        <v>1151</v>
      </c>
      <c r="J17" s="0" t="s">
        <v>874</v>
      </c>
    </row>
    <row r="18" customFormat="false" ht="15" hidden="false" customHeight="false" outlineLevel="0" collapsed="false">
      <c r="A18" s="0" t="s">
        <v>1132</v>
      </c>
      <c r="B18" s="0" t="n">
        <v>2678</v>
      </c>
      <c r="C18" s="0" t="s">
        <v>271</v>
      </c>
      <c r="E18" s="0" t="n">
        <v>3955</v>
      </c>
      <c r="F18" s="0" t="s">
        <v>1150</v>
      </c>
      <c r="G18" s="0" t="s">
        <v>1137</v>
      </c>
      <c r="H18" s="0" t="s">
        <v>409</v>
      </c>
      <c r="I18" s="0" t="s">
        <v>1151</v>
      </c>
      <c r="J18" s="0" t="s">
        <v>874</v>
      </c>
    </row>
    <row r="19" customFormat="false" ht="15" hidden="false" customHeight="false" outlineLevel="0" collapsed="false">
      <c r="A19" s="0" t="s">
        <v>1132</v>
      </c>
      <c r="B19" s="0" t="n">
        <v>2692</v>
      </c>
      <c r="C19" s="0" t="s">
        <v>275</v>
      </c>
      <c r="E19" s="0" t="n">
        <v>3955</v>
      </c>
      <c r="F19" s="0" t="s">
        <v>1150</v>
      </c>
      <c r="G19" s="0" t="s">
        <v>1137</v>
      </c>
      <c r="H19" s="0" t="s">
        <v>409</v>
      </c>
      <c r="I19" s="0" t="s">
        <v>1151</v>
      </c>
      <c r="J19" s="0" t="s">
        <v>874</v>
      </c>
    </row>
    <row r="20" customFormat="false" ht="15" hidden="false" customHeight="false" outlineLevel="0" collapsed="false">
      <c r="A20" s="0" t="s">
        <v>1132</v>
      </c>
      <c r="B20" s="0" t="n">
        <v>3713</v>
      </c>
      <c r="C20" s="0" t="s">
        <v>277</v>
      </c>
      <c r="E20" s="0" t="n">
        <v>12957</v>
      </c>
      <c r="F20" s="0" t="s">
        <v>1152</v>
      </c>
      <c r="G20" s="0" t="s">
        <v>1137</v>
      </c>
      <c r="H20" s="0" t="s">
        <v>516</v>
      </c>
      <c r="I20" s="0" t="s">
        <v>1153</v>
      </c>
      <c r="J20" s="0" t="s">
        <v>920</v>
      </c>
    </row>
    <row r="21" customFormat="false" ht="15" hidden="false" customHeight="false" outlineLevel="0" collapsed="false">
      <c r="A21" s="0" t="s">
        <v>1132</v>
      </c>
      <c r="B21" s="0" t="n">
        <v>2678</v>
      </c>
      <c r="C21" s="0" t="s">
        <v>271</v>
      </c>
      <c r="E21" s="0" t="n">
        <v>12957</v>
      </c>
      <c r="F21" s="0" t="s">
        <v>1152</v>
      </c>
      <c r="G21" s="0" t="s">
        <v>1137</v>
      </c>
      <c r="H21" s="0" t="s">
        <v>516</v>
      </c>
      <c r="I21" s="0" t="s">
        <v>1153</v>
      </c>
      <c r="J21" s="0" t="s">
        <v>920</v>
      </c>
    </row>
    <row r="22" customFormat="false" ht="15" hidden="false" customHeight="false" outlineLevel="0" collapsed="false">
      <c r="A22" s="0" t="s">
        <v>1132</v>
      </c>
      <c r="B22" s="0" t="n">
        <v>2692</v>
      </c>
      <c r="C22" s="0" t="s">
        <v>275</v>
      </c>
      <c r="E22" s="0" t="n">
        <v>12957</v>
      </c>
      <c r="F22" s="0" t="s">
        <v>1152</v>
      </c>
      <c r="G22" s="0" t="s">
        <v>1137</v>
      </c>
      <c r="H22" s="0" t="s">
        <v>516</v>
      </c>
      <c r="I22" s="0" t="s">
        <v>1153</v>
      </c>
      <c r="J22" s="0" t="s">
        <v>920</v>
      </c>
    </row>
    <row r="23" customFormat="false" ht="15" hidden="false" customHeight="false" outlineLevel="0" collapsed="false">
      <c r="A23" s="0" t="s">
        <v>1132</v>
      </c>
      <c r="B23" s="0" t="n">
        <v>159</v>
      </c>
      <c r="C23" s="0" t="s">
        <v>293</v>
      </c>
      <c r="E23" s="0" t="n">
        <v>3621</v>
      </c>
      <c r="F23" s="0" t="s">
        <v>1154</v>
      </c>
      <c r="G23" s="0" t="s">
        <v>1155</v>
      </c>
      <c r="H23" s="0" t="s">
        <v>516</v>
      </c>
      <c r="I23" s="0" t="s">
        <v>1156</v>
      </c>
      <c r="J23" s="0" t="s">
        <v>652</v>
      </c>
    </row>
    <row r="24" customFormat="false" ht="15" hidden="false" customHeight="false" outlineLevel="0" collapsed="false">
      <c r="A24" s="0" t="s">
        <v>1132</v>
      </c>
      <c r="B24" s="0" t="n">
        <v>1179</v>
      </c>
      <c r="C24" s="0" t="s">
        <v>308</v>
      </c>
      <c r="E24" s="0" t="n">
        <v>3621</v>
      </c>
      <c r="F24" s="0" t="s">
        <v>1154</v>
      </c>
      <c r="G24" s="0" t="s">
        <v>1155</v>
      </c>
      <c r="H24" s="0" t="s">
        <v>516</v>
      </c>
      <c r="I24" s="0" t="s">
        <v>1156</v>
      </c>
      <c r="J24" s="0" t="s">
        <v>652</v>
      </c>
    </row>
    <row r="25" customFormat="false" ht="15" hidden="false" customHeight="false" outlineLevel="0" collapsed="false">
      <c r="A25" s="0" t="s">
        <v>1132</v>
      </c>
      <c r="B25" s="0" t="n">
        <v>159</v>
      </c>
      <c r="C25" s="0" t="s">
        <v>293</v>
      </c>
      <c r="E25" s="0" t="n">
        <v>11118</v>
      </c>
      <c r="F25" s="0" t="s">
        <v>1157</v>
      </c>
      <c r="G25" s="0" t="s">
        <v>1134</v>
      </c>
      <c r="H25" s="0" t="s">
        <v>1158</v>
      </c>
      <c r="I25" s="0" t="s">
        <v>1159</v>
      </c>
      <c r="J25" s="0" t="s">
        <v>920</v>
      </c>
    </row>
    <row r="26" customFormat="false" ht="15" hidden="false" customHeight="false" outlineLevel="0" collapsed="false">
      <c r="A26" s="0" t="s">
        <v>1132</v>
      </c>
      <c r="B26" s="0" t="n">
        <v>1179</v>
      </c>
      <c r="C26" s="0" t="s">
        <v>308</v>
      </c>
      <c r="E26" s="0" t="n">
        <v>11118</v>
      </c>
      <c r="F26" s="0" t="s">
        <v>1157</v>
      </c>
      <c r="G26" s="0" t="s">
        <v>1134</v>
      </c>
      <c r="H26" s="0" t="s">
        <v>1158</v>
      </c>
      <c r="I26" s="0" t="s">
        <v>1159</v>
      </c>
      <c r="J26" s="0" t="s">
        <v>920</v>
      </c>
    </row>
    <row r="27" customFormat="false" ht="15" hidden="false" customHeight="false" outlineLevel="0" collapsed="false">
      <c r="A27" s="0" t="s">
        <v>1132</v>
      </c>
      <c r="B27" s="0" t="n">
        <v>159</v>
      </c>
      <c r="C27" s="0" t="s">
        <v>293</v>
      </c>
      <c r="E27" s="0" t="n">
        <v>11187</v>
      </c>
      <c r="F27" s="0" t="s">
        <v>1160</v>
      </c>
      <c r="G27" s="0" t="s">
        <v>1161</v>
      </c>
      <c r="H27" s="0" t="s">
        <v>1158</v>
      </c>
      <c r="I27" s="0" t="s">
        <v>1162</v>
      </c>
      <c r="J27" s="0" t="s">
        <v>920</v>
      </c>
    </row>
    <row r="28" customFormat="false" ht="15" hidden="false" customHeight="false" outlineLevel="0" collapsed="false">
      <c r="A28" s="0" t="s">
        <v>1132</v>
      </c>
      <c r="B28" s="0" t="n">
        <v>1179</v>
      </c>
      <c r="C28" s="0" t="s">
        <v>308</v>
      </c>
      <c r="E28" s="0" t="n">
        <v>11187</v>
      </c>
      <c r="F28" s="0" t="s">
        <v>1160</v>
      </c>
      <c r="G28" s="0" t="s">
        <v>1161</v>
      </c>
      <c r="H28" s="0" t="s">
        <v>1158</v>
      </c>
      <c r="I28" s="0" t="s">
        <v>1162</v>
      </c>
      <c r="J28" s="0" t="s">
        <v>920</v>
      </c>
    </row>
    <row r="29" customFormat="false" ht="15" hidden="false" customHeight="false" outlineLevel="0" collapsed="false">
      <c r="A29" s="0" t="s">
        <v>1132</v>
      </c>
      <c r="B29" s="0" t="n">
        <v>159</v>
      </c>
      <c r="C29" s="0" t="s">
        <v>293</v>
      </c>
      <c r="E29" s="0" t="n">
        <v>2303</v>
      </c>
      <c r="F29" s="0" t="s">
        <v>1163</v>
      </c>
      <c r="G29" s="0" t="s">
        <v>1161</v>
      </c>
      <c r="H29" s="0" t="s">
        <v>1158</v>
      </c>
      <c r="I29" s="0" t="s">
        <v>1164</v>
      </c>
      <c r="J29" s="0" t="s">
        <v>874</v>
      </c>
    </row>
    <row r="30" customFormat="false" ht="15" hidden="false" customHeight="false" outlineLevel="0" collapsed="false">
      <c r="A30" s="0" t="s">
        <v>1132</v>
      </c>
      <c r="B30" s="0" t="n">
        <v>1179</v>
      </c>
      <c r="C30" s="0" t="s">
        <v>308</v>
      </c>
      <c r="E30" s="0" t="n">
        <v>2303</v>
      </c>
      <c r="F30" s="0" t="s">
        <v>1163</v>
      </c>
      <c r="G30" s="0" t="s">
        <v>1161</v>
      </c>
      <c r="H30" s="0" t="s">
        <v>1158</v>
      </c>
      <c r="I30" s="0" t="s">
        <v>1164</v>
      </c>
      <c r="J30" s="0" t="s">
        <v>874</v>
      </c>
    </row>
    <row r="31" customFormat="false" ht="15" hidden="false" customHeight="false" outlineLevel="0" collapsed="false">
      <c r="A31" s="0" t="s">
        <v>1132</v>
      </c>
      <c r="B31" s="0" t="n">
        <v>4470</v>
      </c>
      <c r="C31" s="0" t="s">
        <v>292</v>
      </c>
      <c r="E31" s="0" t="n">
        <v>2084</v>
      </c>
      <c r="F31" s="0" t="s">
        <v>1165</v>
      </c>
      <c r="G31" s="0" t="s">
        <v>1140</v>
      </c>
      <c r="H31" s="0" t="s">
        <v>1158</v>
      </c>
      <c r="I31" s="0" t="s">
        <v>1166</v>
      </c>
      <c r="J31" s="0" t="s">
        <v>874</v>
      </c>
    </row>
    <row r="32" customFormat="false" ht="15" hidden="false" customHeight="false" outlineLevel="0" collapsed="false">
      <c r="A32" s="0" t="s">
        <v>1132</v>
      </c>
      <c r="B32" s="0" t="n">
        <v>159</v>
      </c>
      <c r="C32" s="0" t="s">
        <v>293</v>
      </c>
      <c r="E32" s="0" t="n">
        <v>2084</v>
      </c>
      <c r="F32" s="0" t="s">
        <v>1165</v>
      </c>
      <c r="G32" s="0" t="s">
        <v>1140</v>
      </c>
      <c r="H32" s="0" t="s">
        <v>1158</v>
      </c>
      <c r="I32" s="0" t="s">
        <v>1166</v>
      </c>
      <c r="J32" s="0" t="s">
        <v>874</v>
      </c>
    </row>
    <row r="33" customFormat="false" ht="15" hidden="false" customHeight="false" outlineLevel="0" collapsed="false">
      <c r="A33" s="0" t="s">
        <v>1132</v>
      </c>
      <c r="B33" s="0" t="n">
        <v>3713</v>
      </c>
      <c r="C33" s="0" t="s">
        <v>277</v>
      </c>
      <c r="E33" s="0" t="n">
        <v>11189</v>
      </c>
      <c r="F33" s="0" t="s">
        <v>1167</v>
      </c>
      <c r="G33" s="0" t="s">
        <v>1137</v>
      </c>
      <c r="H33" s="0" t="s">
        <v>1158</v>
      </c>
      <c r="I33" s="0" t="s">
        <v>1168</v>
      </c>
      <c r="J33" s="0" t="s">
        <v>920</v>
      </c>
    </row>
    <row r="34" customFormat="false" ht="15" hidden="false" customHeight="false" outlineLevel="0" collapsed="false">
      <c r="A34" s="0" t="s">
        <v>1132</v>
      </c>
      <c r="B34" s="0" t="n">
        <v>2678</v>
      </c>
      <c r="C34" s="0" t="s">
        <v>271</v>
      </c>
      <c r="E34" s="0" t="n">
        <v>11189</v>
      </c>
      <c r="F34" s="0" t="s">
        <v>1167</v>
      </c>
      <c r="G34" s="0" t="s">
        <v>1137</v>
      </c>
      <c r="H34" s="0" t="s">
        <v>1158</v>
      </c>
      <c r="I34" s="0" t="s">
        <v>1168</v>
      </c>
      <c r="J34" s="0" t="s">
        <v>920</v>
      </c>
    </row>
    <row r="35" customFormat="false" ht="15" hidden="false" customHeight="false" outlineLevel="0" collapsed="false">
      <c r="A35" s="0" t="s">
        <v>1132</v>
      </c>
      <c r="B35" s="0" t="n">
        <v>2692</v>
      </c>
      <c r="C35" s="0" t="s">
        <v>275</v>
      </c>
      <c r="E35" s="0" t="n">
        <v>11189</v>
      </c>
      <c r="F35" s="0" t="s">
        <v>1167</v>
      </c>
      <c r="G35" s="0" t="s">
        <v>1137</v>
      </c>
      <c r="H35" s="0" t="s">
        <v>1158</v>
      </c>
      <c r="I35" s="0" t="s">
        <v>1168</v>
      </c>
      <c r="J35" s="0" t="s">
        <v>920</v>
      </c>
    </row>
    <row r="36" customFormat="false" ht="15" hidden="false" customHeight="false" outlineLevel="0" collapsed="false">
      <c r="A36" s="0" t="s">
        <v>1132</v>
      </c>
      <c r="B36" s="0" t="n">
        <v>3713</v>
      </c>
      <c r="C36" s="0" t="s">
        <v>277</v>
      </c>
      <c r="E36" s="0" t="n">
        <v>3779</v>
      </c>
      <c r="F36" s="0" t="s">
        <v>1169</v>
      </c>
      <c r="G36" s="0" t="s">
        <v>1137</v>
      </c>
      <c r="H36" s="0" t="s">
        <v>1158</v>
      </c>
      <c r="I36" s="0" t="s">
        <v>1170</v>
      </c>
      <c r="J36" s="0" t="s">
        <v>874</v>
      </c>
    </row>
    <row r="37" customFormat="false" ht="15" hidden="false" customHeight="false" outlineLevel="0" collapsed="false">
      <c r="A37" s="0" t="s">
        <v>1132</v>
      </c>
      <c r="B37" s="0" t="n">
        <v>2678</v>
      </c>
      <c r="C37" s="0" t="s">
        <v>271</v>
      </c>
      <c r="E37" s="0" t="n">
        <v>3779</v>
      </c>
      <c r="F37" s="0" t="s">
        <v>1169</v>
      </c>
      <c r="G37" s="0" t="s">
        <v>1137</v>
      </c>
      <c r="H37" s="0" t="s">
        <v>1158</v>
      </c>
      <c r="I37" s="0" t="s">
        <v>1170</v>
      </c>
      <c r="J37" s="0" t="s">
        <v>874</v>
      </c>
    </row>
    <row r="38" customFormat="false" ht="15" hidden="false" customHeight="false" outlineLevel="0" collapsed="false">
      <c r="A38" s="0" t="s">
        <v>1132</v>
      </c>
      <c r="B38" s="0" t="n">
        <v>2692</v>
      </c>
      <c r="C38" s="0" t="s">
        <v>275</v>
      </c>
      <c r="E38" s="0" t="n">
        <v>3779</v>
      </c>
      <c r="F38" s="0" t="s">
        <v>1169</v>
      </c>
      <c r="G38" s="0" t="s">
        <v>1137</v>
      </c>
      <c r="H38" s="0" t="s">
        <v>1158</v>
      </c>
      <c r="I38" s="0" t="s">
        <v>1170</v>
      </c>
      <c r="J38" s="0" t="s">
        <v>874</v>
      </c>
    </row>
    <row r="39" customFormat="false" ht="15" hidden="false" customHeight="false" outlineLevel="0" collapsed="false">
      <c r="A39" s="0" t="s">
        <v>1132</v>
      </c>
      <c r="B39" s="0" t="n">
        <v>3713</v>
      </c>
      <c r="C39" s="0" t="s">
        <v>277</v>
      </c>
      <c r="E39" s="0" t="n">
        <v>960</v>
      </c>
      <c r="F39" s="0" t="s">
        <v>1171</v>
      </c>
      <c r="G39" s="0" t="s">
        <v>1172</v>
      </c>
      <c r="H39" s="0" t="s">
        <v>1023</v>
      </c>
      <c r="I39" s="0" t="s">
        <v>1173</v>
      </c>
      <c r="J39" s="0" t="s">
        <v>874</v>
      </c>
    </row>
    <row r="40" customFormat="false" ht="15" hidden="false" customHeight="false" outlineLevel="0" collapsed="false">
      <c r="A40" s="0" t="s">
        <v>1132</v>
      </c>
      <c r="B40" s="0" t="n">
        <v>2678</v>
      </c>
      <c r="C40" s="0" t="s">
        <v>271</v>
      </c>
      <c r="E40" s="0" t="n">
        <v>960</v>
      </c>
      <c r="F40" s="0" t="s">
        <v>1171</v>
      </c>
      <c r="G40" s="0" t="s">
        <v>1172</v>
      </c>
      <c r="H40" s="0" t="s">
        <v>1023</v>
      </c>
      <c r="I40" s="0" t="s">
        <v>1173</v>
      </c>
      <c r="J40" s="0" t="s">
        <v>874</v>
      </c>
    </row>
    <row r="41" customFormat="false" ht="15" hidden="false" customHeight="false" outlineLevel="0" collapsed="false">
      <c r="A41" s="0" t="s">
        <v>1132</v>
      </c>
      <c r="B41" s="0" t="n">
        <v>2692</v>
      </c>
      <c r="C41" s="0" t="s">
        <v>275</v>
      </c>
      <c r="E41" s="0" t="n">
        <v>960</v>
      </c>
      <c r="F41" s="0" t="s">
        <v>1171</v>
      </c>
      <c r="G41" s="0" t="s">
        <v>1172</v>
      </c>
      <c r="H41" s="0" t="s">
        <v>1023</v>
      </c>
      <c r="I41" s="0" t="s">
        <v>1173</v>
      </c>
      <c r="J41" s="0" t="s">
        <v>874</v>
      </c>
    </row>
    <row r="42" customFormat="false" ht="15" hidden="false" customHeight="false" outlineLevel="0" collapsed="false">
      <c r="A42" s="0" t="s">
        <v>1132</v>
      </c>
      <c r="B42" s="0" t="n">
        <v>159</v>
      </c>
      <c r="C42" s="0" t="s">
        <v>293</v>
      </c>
      <c r="E42" s="0" t="n">
        <v>274</v>
      </c>
      <c r="F42" s="0" t="s">
        <v>1174</v>
      </c>
      <c r="G42" s="0" t="s">
        <v>1175</v>
      </c>
      <c r="H42" s="0" t="s">
        <v>1023</v>
      </c>
      <c r="I42" s="0" t="s">
        <v>1176</v>
      </c>
      <c r="J42" s="0" t="s">
        <v>874</v>
      </c>
    </row>
    <row r="43" customFormat="false" ht="15" hidden="false" customHeight="false" outlineLevel="0" collapsed="false">
      <c r="A43" s="0" t="s">
        <v>1132</v>
      </c>
      <c r="B43" s="0" t="n">
        <v>1179</v>
      </c>
      <c r="C43" s="0" t="s">
        <v>308</v>
      </c>
      <c r="E43" s="0" t="n">
        <v>274</v>
      </c>
      <c r="F43" s="0" t="s">
        <v>1174</v>
      </c>
      <c r="G43" s="0" t="s">
        <v>1175</v>
      </c>
      <c r="H43" s="0" t="s">
        <v>1023</v>
      </c>
      <c r="I43" s="0" t="s">
        <v>1176</v>
      </c>
      <c r="J43" s="0" t="s">
        <v>874</v>
      </c>
    </row>
    <row r="44" customFormat="false" ht="15" hidden="false" customHeight="false" outlineLevel="0" collapsed="false">
      <c r="A44" s="0" t="s">
        <v>1132</v>
      </c>
      <c r="B44" s="0" t="n">
        <v>4470</v>
      </c>
      <c r="C44" s="0" t="s">
        <v>292</v>
      </c>
      <c r="E44" s="0" t="n">
        <v>227</v>
      </c>
      <c r="F44" s="0" t="s">
        <v>1177</v>
      </c>
      <c r="G44" s="0" t="s">
        <v>1178</v>
      </c>
      <c r="H44" s="0" t="s">
        <v>1023</v>
      </c>
      <c r="I44" s="0" t="s">
        <v>1179</v>
      </c>
      <c r="J44" s="0" t="s">
        <v>874</v>
      </c>
    </row>
    <row r="45" customFormat="false" ht="15" hidden="false" customHeight="false" outlineLevel="0" collapsed="false">
      <c r="A45" s="0" t="s">
        <v>1132</v>
      </c>
      <c r="B45" s="0" t="n">
        <v>159</v>
      </c>
      <c r="C45" s="0" t="s">
        <v>293</v>
      </c>
      <c r="E45" s="0" t="n">
        <v>227</v>
      </c>
      <c r="F45" s="0" t="s">
        <v>1177</v>
      </c>
      <c r="G45" s="0" t="s">
        <v>1178</v>
      </c>
      <c r="H45" s="0" t="s">
        <v>1023</v>
      </c>
      <c r="I45" s="0" t="s">
        <v>1179</v>
      </c>
      <c r="J45" s="0" t="s">
        <v>874</v>
      </c>
    </row>
    <row r="46" customFormat="false" ht="15" hidden="false" customHeight="false" outlineLevel="0" collapsed="false">
      <c r="A46" s="0" t="s">
        <v>1132</v>
      </c>
      <c r="B46" s="0" t="n">
        <v>1179</v>
      </c>
      <c r="C46" s="0" t="s">
        <v>308</v>
      </c>
      <c r="E46" s="0" t="n">
        <v>227</v>
      </c>
      <c r="F46" s="0" t="s">
        <v>1177</v>
      </c>
      <c r="G46" s="0" t="s">
        <v>1178</v>
      </c>
      <c r="H46" s="0" t="s">
        <v>1023</v>
      </c>
      <c r="I46" s="0" t="s">
        <v>1179</v>
      </c>
      <c r="J46" s="0" t="s">
        <v>874</v>
      </c>
    </row>
    <row r="47" customFormat="false" ht="15" hidden="false" customHeight="false" outlineLevel="0" collapsed="false">
      <c r="A47" s="0" t="s">
        <v>1132</v>
      </c>
      <c r="B47" s="0" t="n">
        <v>159</v>
      </c>
      <c r="C47" s="0" t="s">
        <v>293</v>
      </c>
      <c r="E47" s="0" t="n">
        <v>6790</v>
      </c>
      <c r="F47" s="0" t="s">
        <v>1180</v>
      </c>
      <c r="G47" s="0" t="s">
        <v>1134</v>
      </c>
      <c r="H47" s="0" t="s">
        <v>1023</v>
      </c>
      <c r="I47" s="0" t="s">
        <v>1181</v>
      </c>
      <c r="J47" s="0" t="s">
        <v>874</v>
      </c>
    </row>
    <row r="48" customFormat="false" ht="15" hidden="false" customHeight="false" outlineLevel="0" collapsed="false">
      <c r="A48" s="0" t="s">
        <v>1132</v>
      </c>
      <c r="B48" s="0" t="n">
        <v>1179</v>
      </c>
      <c r="C48" s="0" t="s">
        <v>308</v>
      </c>
      <c r="E48" s="0" t="n">
        <v>6790</v>
      </c>
      <c r="F48" s="0" t="s">
        <v>1180</v>
      </c>
      <c r="G48" s="0" t="s">
        <v>1134</v>
      </c>
      <c r="H48" s="0" t="s">
        <v>1023</v>
      </c>
      <c r="I48" s="0" t="s">
        <v>1181</v>
      </c>
      <c r="J48" s="0" t="s">
        <v>874</v>
      </c>
    </row>
    <row r="49" customFormat="false" ht="15" hidden="false" customHeight="false" outlineLevel="0" collapsed="false">
      <c r="A49" s="0" t="s">
        <v>1132</v>
      </c>
      <c r="B49" s="0" t="n">
        <v>159</v>
      </c>
      <c r="C49" s="0" t="s">
        <v>293</v>
      </c>
      <c r="E49" s="0" t="n">
        <v>6740</v>
      </c>
      <c r="F49" s="0" t="s">
        <v>1182</v>
      </c>
      <c r="G49" s="0" t="s">
        <v>1134</v>
      </c>
      <c r="H49" s="0" t="s">
        <v>872</v>
      </c>
      <c r="I49" s="0" t="s">
        <v>1183</v>
      </c>
      <c r="J49" s="0" t="s">
        <v>874</v>
      </c>
    </row>
    <row r="50" customFormat="false" ht="15" hidden="false" customHeight="false" outlineLevel="0" collapsed="false">
      <c r="A50" s="0" t="s">
        <v>1132</v>
      </c>
      <c r="B50" s="0" t="n">
        <v>1179</v>
      </c>
      <c r="C50" s="0" t="s">
        <v>308</v>
      </c>
      <c r="E50" s="0" t="n">
        <v>6740</v>
      </c>
      <c r="F50" s="0" t="s">
        <v>1182</v>
      </c>
      <c r="G50" s="0" t="s">
        <v>1134</v>
      </c>
      <c r="H50" s="0" t="s">
        <v>872</v>
      </c>
      <c r="I50" s="0" t="s">
        <v>1183</v>
      </c>
      <c r="J50" s="0" t="s">
        <v>874</v>
      </c>
    </row>
    <row r="51" customFormat="false" ht="15" hidden="false" customHeight="false" outlineLevel="0" collapsed="false">
      <c r="A51" s="0" t="s">
        <v>1132</v>
      </c>
      <c r="B51" s="0" t="n">
        <v>159</v>
      </c>
      <c r="C51" s="0" t="s">
        <v>293</v>
      </c>
      <c r="E51" s="0" t="n">
        <v>4981</v>
      </c>
      <c r="F51" s="0" t="s">
        <v>1184</v>
      </c>
      <c r="G51" s="0" t="s">
        <v>1185</v>
      </c>
      <c r="H51" s="0" t="s">
        <v>872</v>
      </c>
      <c r="I51" s="0" t="s">
        <v>1186</v>
      </c>
      <c r="J51" s="0" t="s">
        <v>874</v>
      </c>
    </row>
    <row r="52" customFormat="false" ht="15" hidden="false" customHeight="false" outlineLevel="0" collapsed="false">
      <c r="A52" s="0" t="s">
        <v>1132</v>
      </c>
      <c r="B52" s="0" t="n">
        <v>1179</v>
      </c>
      <c r="C52" s="0" t="s">
        <v>308</v>
      </c>
      <c r="E52" s="0" t="n">
        <v>4981</v>
      </c>
      <c r="F52" s="0" t="s">
        <v>1184</v>
      </c>
      <c r="G52" s="0" t="s">
        <v>1185</v>
      </c>
      <c r="H52" s="0" t="s">
        <v>872</v>
      </c>
      <c r="I52" s="0" t="s">
        <v>1186</v>
      </c>
      <c r="J52" s="0" t="s">
        <v>874</v>
      </c>
    </row>
    <row r="53" customFormat="false" ht="15" hidden="false" customHeight="false" outlineLevel="0" collapsed="false">
      <c r="A53" s="0" t="s">
        <v>1132</v>
      </c>
      <c r="B53" s="0" t="n">
        <v>3713</v>
      </c>
      <c r="C53" s="0" t="s">
        <v>277</v>
      </c>
      <c r="E53" s="0" t="n">
        <v>1286</v>
      </c>
      <c r="F53" s="0" t="s">
        <v>1187</v>
      </c>
      <c r="G53" s="0" t="s">
        <v>1137</v>
      </c>
      <c r="H53" s="0" t="s">
        <v>872</v>
      </c>
      <c r="I53" s="0" t="s">
        <v>1188</v>
      </c>
      <c r="J53" s="0" t="s">
        <v>874</v>
      </c>
    </row>
    <row r="54" customFormat="false" ht="15" hidden="false" customHeight="false" outlineLevel="0" collapsed="false">
      <c r="A54" s="0" t="s">
        <v>1132</v>
      </c>
      <c r="B54" s="0" t="n">
        <v>2678</v>
      </c>
      <c r="C54" s="0" t="s">
        <v>271</v>
      </c>
      <c r="E54" s="0" t="n">
        <v>1286</v>
      </c>
      <c r="F54" s="0" t="s">
        <v>1187</v>
      </c>
      <c r="G54" s="0" t="s">
        <v>1137</v>
      </c>
      <c r="H54" s="0" t="s">
        <v>872</v>
      </c>
      <c r="I54" s="0" t="s">
        <v>1188</v>
      </c>
      <c r="J54" s="0" t="s">
        <v>874</v>
      </c>
    </row>
    <row r="55" customFormat="false" ht="15" hidden="false" customHeight="false" outlineLevel="0" collapsed="false">
      <c r="A55" s="0" t="s">
        <v>1132</v>
      </c>
      <c r="B55" s="0" t="n">
        <v>2692</v>
      </c>
      <c r="C55" s="0" t="s">
        <v>275</v>
      </c>
      <c r="E55" s="0" t="n">
        <v>1286</v>
      </c>
      <c r="F55" s="0" t="s">
        <v>1187</v>
      </c>
      <c r="G55" s="0" t="s">
        <v>1137</v>
      </c>
      <c r="H55" s="0" t="s">
        <v>872</v>
      </c>
      <c r="I55" s="0" t="s">
        <v>1188</v>
      </c>
      <c r="J55" s="0" t="s">
        <v>874</v>
      </c>
    </row>
    <row r="56" customFormat="false" ht="15" hidden="false" customHeight="false" outlineLevel="0" collapsed="false">
      <c r="A56" s="0" t="s">
        <v>1132</v>
      </c>
      <c r="B56" s="0" t="n">
        <v>159</v>
      </c>
      <c r="C56" s="0" t="s">
        <v>293</v>
      </c>
      <c r="E56" s="0" t="n">
        <v>1328</v>
      </c>
      <c r="F56" s="0" t="s">
        <v>1189</v>
      </c>
      <c r="G56" s="0" t="s">
        <v>1190</v>
      </c>
      <c r="H56" s="0" t="s">
        <v>872</v>
      </c>
      <c r="I56" s="0" t="s">
        <v>1191</v>
      </c>
      <c r="J56" s="0" t="s">
        <v>874</v>
      </c>
    </row>
    <row r="57" customFormat="false" ht="15" hidden="false" customHeight="false" outlineLevel="0" collapsed="false">
      <c r="A57" s="0" t="s">
        <v>1132</v>
      </c>
      <c r="B57" s="0" t="n">
        <v>1179</v>
      </c>
      <c r="C57" s="0" t="s">
        <v>308</v>
      </c>
      <c r="E57" s="0" t="n">
        <v>1328</v>
      </c>
      <c r="F57" s="0" t="s">
        <v>1189</v>
      </c>
      <c r="G57" s="0" t="s">
        <v>1190</v>
      </c>
      <c r="H57" s="0" t="s">
        <v>872</v>
      </c>
      <c r="I57" s="0" t="s">
        <v>1191</v>
      </c>
      <c r="J57" s="0" t="s">
        <v>874</v>
      </c>
    </row>
    <row r="58" customFormat="false" ht="15" hidden="false" customHeight="false" outlineLevel="0" collapsed="false">
      <c r="A58" s="0" t="s">
        <v>1132</v>
      </c>
      <c r="B58" s="0" t="n">
        <v>2596</v>
      </c>
      <c r="C58" s="0" t="s">
        <v>363</v>
      </c>
      <c r="E58" s="0" t="n">
        <v>1328</v>
      </c>
      <c r="F58" s="0" t="s">
        <v>1189</v>
      </c>
      <c r="G58" s="0" t="s">
        <v>1190</v>
      </c>
      <c r="H58" s="0" t="s">
        <v>872</v>
      </c>
      <c r="I58" s="0" t="s">
        <v>1191</v>
      </c>
      <c r="J58" s="0" t="s">
        <v>874</v>
      </c>
    </row>
    <row r="59" customFormat="false" ht="15" hidden="false" customHeight="false" outlineLevel="0" collapsed="false">
      <c r="A59" s="0" t="s">
        <v>1132</v>
      </c>
      <c r="B59" s="0" t="n">
        <v>159</v>
      </c>
      <c r="C59" s="0" t="s">
        <v>293</v>
      </c>
      <c r="E59" s="0" t="n">
        <v>5483</v>
      </c>
      <c r="F59" s="0" t="s">
        <v>1192</v>
      </c>
      <c r="G59" s="0" t="s">
        <v>1193</v>
      </c>
      <c r="H59" s="0" t="s">
        <v>872</v>
      </c>
      <c r="I59" s="0" t="s">
        <v>1194</v>
      </c>
      <c r="J59" s="0" t="s">
        <v>874</v>
      </c>
    </row>
    <row r="60" customFormat="false" ht="15" hidden="false" customHeight="false" outlineLevel="0" collapsed="false">
      <c r="A60" s="0" t="s">
        <v>1132</v>
      </c>
      <c r="B60" s="0" t="n">
        <v>3713</v>
      </c>
      <c r="C60" s="0" t="s">
        <v>277</v>
      </c>
      <c r="E60" s="0" t="n">
        <v>5483</v>
      </c>
      <c r="F60" s="0" t="s">
        <v>1192</v>
      </c>
      <c r="G60" s="0" t="s">
        <v>1193</v>
      </c>
      <c r="H60" s="0" t="s">
        <v>872</v>
      </c>
      <c r="I60" s="0" t="s">
        <v>1194</v>
      </c>
      <c r="J60" s="0" t="s">
        <v>874</v>
      </c>
    </row>
    <row r="61" customFormat="false" ht="15" hidden="false" customHeight="false" outlineLevel="0" collapsed="false">
      <c r="A61" s="0" t="s">
        <v>1132</v>
      </c>
      <c r="B61" s="0" t="n">
        <v>2678</v>
      </c>
      <c r="C61" s="0" t="s">
        <v>271</v>
      </c>
      <c r="E61" s="0" t="n">
        <v>5483</v>
      </c>
      <c r="F61" s="0" t="s">
        <v>1192</v>
      </c>
      <c r="G61" s="0" t="s">
        <v>1193</v>
      </c>
      <c r="H61" s="0" t="s">
        <v>872</v>
      </c>
      <c r="I61" s="0" t="s">
        <v>1194</v>
      </c>
      <c r="J61" s="0" t="s">
        <v>874</v>
      </c>
    </row>
    <row r="62" customFormat="false" ht="15" hidden="false" customHeight="false" outlineLevel="0" collapsed="false">
      <c r="A62" s="0" t="s">
        <v>1132</v>
      </c>
      <c r="B62" s="0" t="n">
        <v>2692</v>
      </c>
      <c r="C62" s="0" t="s">
        <v>275</v>
      </c>
      <c r="E62" s="0" t="n">
        <v>5483</v>
      </c>
      <c r="F62" s="0" t="s">
        <v>1192</v>
      </c>
      <c r="G62" s="0" t="s">
        <v>1193</v>
      </c>
      <c r="H62" s="0" t="s">
        <v>872</v>
      </c>
      <c r="I62" s="0" t="s">
        <v>1194</v>
      </c>
      <c r="J62" s="0" t="s">
        <v>874</v>
      </c>
    </row>
    <row r="63" customFormat="false" ht="15" hidden="false" customHeight="false" outlineLevel="0" collapsed="false">
      <c r="A63" s="0" t="s">
        <v>1132</v>
      </c>
      <c r="B63" s="0" t="n">
        <v>2665</v>
      </c>
      <c r="C63" s="0" t="s">
        <v>1195</v>
      </c>
      <c r="E63" s="0" t="n">
        <v>1303</v>
      </c>
      <c r="F63" s="0" t="s">
        <v>1196</v>
      </c>
      <c r="G63" s="0" t="s">
        <v>1197</v>
      </c>
      <c r="H63" s="0" t="s">
        <v>872</v>
      </c>
      <c r="I63" s="0" t="s">
        <v>1198</v>
      </c>
      <c r="J63" s="0" t="s">
        <v>874</v>
      </c>
    </row>
    <row r="64" customFormat="false" ht="15" hidden="false" customHeight="false" outlineLevel="0" collapsed="false">
      <c r="A64" s="0" t="s">
        <v>1132</v>
      </c>
      <c r="B64" s="0" t="n">
        <v>2596</v>
      </c>
      <c r="C64" s="0" t="s">
        <v>363</v>
      </c>
      <c r="E64" s="0" t="n">
        <v>1305</v>
      </c>
      <c r="F64" s="0" t="s">
        <v>1199</v>
      </c>
      <c r="G64" s="0" t="s">
        <v>1175</v>
      </c>
      <c r="H64" s="0" t="s">
        <v>872</v>
      </c>
      <c r="I64" s="0" t="s">
        <v>1200</v>
      </c>
      <c r="J64" s="0" t="s">
        <v>874</v>
      </c>
    </row>
    <row r="65" customFormat="false" ht="15" hidden="false" customHeight="false" outlineLevel="0" collapsed="false">
      <c r="A65" s="0" t="s">
        <v>1132</v>
      </c>
      <c r="B65" s="0" t="n">
        <v>4470</v>
      </c>
      <c r="C65" s="0" t="s">
        <v>292</v>
      </c>
      <c r="E65" s="0" t="n">
        <v>1318</v>
      </c>
      <c r="F65" s="0" t="s">
        <v>1201</v>
      </c>
      <c r="G65" s="0" t="s">
        <v>1202</v>
      </c>
      <c r="H65" s="0" t="s">
        <v>872</v>
      </c>
      <c r="I65" s="0" t="s">
        <v>1203</v>
      </c>
      <c r="J65" s="0" t="s">
        <v>874</v>
      </c>
    </row>
    <row r="66" customFormat="false" ht="15" hidden="false" customHeight="false" outlineLevel="0" collapsed="false">
      <c r="A66" s="0" t="s">
        <v>1132</v>
      </c>
      <c r="B66" s="0" t="n">
        <v>2596</v>
      </c>
      <c r="C66" s="0" t="s">
        <v>363</v>
      </c>
      <c r="E66" s="0" t="n">
        <v>1311</v>
      </c>
      <c r="F66" s="0" t="s">
        <v>1204</v>
      </c>
      <c r="G66" s="0" t="s">
        <v>1175</v>
      </c>
      <c r="H66" s="0" t="s">
        <v>872</v>
      </c>
      <c r="I66" s="0" t="s">
        <v>1205</v>
      </c>
      <c r="J66" s="0" t="s">
        <v>874</v>
      </c>
    </row>
    <row r="67" customFormat="false" ht="15" hidden="false" customHeight="false" outlineLevel="0" collapsed="false">
      <c r="A67" s="0" t="s">
        <v>1132</v>
      </c>
      <c r="B67" s="0" t="n">
        <v>2596</v>
      </c>
      <c r="C67" s="0" t="s">
        <v>363</v>
      </c>
      <c r="E67" s="0" t="n">
        <v>1301</v>
      </c>
      <c r="F67" s="0" t="s">
        <v>1206</v>
      </c>
      <c r="G67" s="0" t="s">
        <v>1207</v>
      </c>
      <c r="H67" s="0" t="s">
        <v>872</v>
      </c>
      <c r="I67" s="0" t="s">
        <v>1208</v>
      </c>
      <c r="J67" s="0" t="s">
        <v>874</v>
      </c>
    </row>
    <row r="68" customFormat="false" ht="15" hidden="false" customHeight="false" outlineLevel="0" collapsed="false">
      <c r="A68" s="0" t="s">
        <v>1132</v>
      </c>
      <c r="B68" s="0" t="n">
        <v>17196</v>
      </c>
      <c r="C68" s="0" t="s">
        <v>309</v>
      </c>
      <c r="E68" s="0" t="n">
        <v>13435</v>
      </c>
      <c r="F68" s="0" t="s">
        <v>1209</v>
      </c>
      <c r="G68" s="0" t="s">
        <v>1210</v>
      </c>
      <c r="H68" s="0" t="s">
        <v>872</v>
      </c>
      <c r="I68" s="0" t="s">
        <v>1211</v>
      </c>
      <c r="J68" s="0" t="s">
        <v>920</v>
      </c>
    </row>
    <row r="69" customFormat="false" ht="15" hidden="false" customHeight="false" outlineLevel="0" collapsed="false">
      <c r="A69" s="0" t="s">
        <v>1132</v>
      </c>
      <c r="B69" s="0" t="n">
        <v>17194</v>
      </c>
      <c r="C69" s="0" t="s">
        <v>301</v>
      </c>
      <c r="E69" s="0" t="n">
        <v>13435</v>
      </c>
      <c r="F69" s="0" t="s">
        <v>1209</v>
      </c>
      <c r="G69" s="0" t="s">
        <v>1210</v>
      </c>
      <c r="H69" s="0" t="s">
        <v>872</v>
      </c>
      <c r="I69" s="0" t="s">
        <v>1211</v>
      </c>
      <c r="J69" s="0" t="s">
        <v>920</v>
      </c>
    </row>
    <row r="70" customFormat="false" ht="15" hidden="false" customHeight="false" outlineLevel="0" collapsed="false">
      <c r="A70" s="0" t="s">
        <v>1132</v>
      </c>
      <c r="B70" s="0" t="n">
        <v>2596</v>
      </c>
      <c r="C70" s="0" t="s">
        <v>363</v>
      </c>
      <c r="E70" s="0" t="n">
        <v>277</v>
      </c>
      <c r="F70" s="0" t="s">
        <v>1212</v>
      </c>
      <c r="G70" s="0" t="s">
        <v>1213</v>
      </c>
      <c r="H70" s="0" t="s">
        <v>872</v>
      </c>
      <c r="I70" s="0" t="s">
        <v>1214</v>
      </c>
      <c r="J70" s="0" t="s">
        <v>874</v>
      </c>
    </row>
    <row r="71" customFormat="false" ht="15" hidden="false" customHeight="false" outlineLevel="0" collapsed="false">
      <c r="A71" s="0" t="s">
        <v>1132</v>
      </c>
      <c r="B71" s="0" t="n">
        <v>4470</v>
      </c>
      <c r="C71" s="0" t="s">
        <v>292</v>
      </c>
      <c r="E71" s="0" t="n">
        <v>1285</v>
      </c>
      <c r="F71" s="0" t="s">
        <v>1215</v>
      </c>
      <c r="G71" s="0" t="s">
        <v>1178</v>
      </c>
      <c r="H71" s="0" t="s">
        <v>872</v>
      </c>
      <c r="I71" s="0" t="s">
        <v>1216</v>
      </c>
      <c r="J71" s="0" t="s">
        <v>874</v>
      </c>
    </row>
    <row r="72" customFormat="false" ht="15" hidden="false" customHeight="false" outlineLevel="0" collapsed="false">
      <c r="A72" s="0" t="s">
        <v>1132</v>
      </c>
      <c r="B72" s="0" t="n">
        <v>159</v>
      </c>
      <c r="C72" s="0" t="s">
        <v>293</v>
      </c>
      <c r="E72" s="0" t="n">
        <v>1285</v>
      </c>
      <c r="F72" s="0" t="s">
        <v>1215</v>
      </c>
      <c r="G72" s="0" t="s">
        <v>1178</v>
      </c>
      <c r="H72" s="0" t="s">
        <v>872</v>
      </c>
      <c r="I72" s="0" t="s">
        <v>1216</v>
      </c>
      <c r="J72" s="0" t="s">
        <v>874</v>
      </c>
    </row>
    <row r="73" customFormat="false" ht="15" hidden="false" customHeight="false" outlineLevel="0" collapsed="false">
      <c r="A73" s="0" t="s">
        <v>1132</v>
      </c>
      <c r="B73" s="0" t="n">
        <v>1179</v>
      </c>
      <c r="C73" s="0" t="s">
        <v>308</v>
      </c>
      <c r="E73" s="0" t="n">
        <v>1285</v>
      </c>
      <c r="F73" s="0" t="s">
        <v>1215</v>
      </c>
      <c r="G73" s="0" t="s">
        <v>1178</v>
      </c>
      <c r="H73" s="0" t="s">
        <v>872</v>
      </c>
      <c r="I73" s="0" t="s">
        <v>1216</v>
      </c>
      <c r="J73" s="0" t="s">
        <v>874</v>
      </c>
    </row>
    <row r="74" customFormat="false" ht="15" hidden="false" customHeight="false" outlineLevel="0" collapsed="false">
      <c r="A74" s="0" t="s">
        <v>1132</v>
      </c>
      <c r="B74" s="0" t="n">
        <v>2678</v>
      </c>
      <c r="C74" s="0" t="s">
        <v>271</v>
      </c>
      <c r="E74" s="0" t="n">
        <v>2118</v>
      </c>
      <c r="F74" s="0" t="s">
        <v>556</v>
      </c>
      <c r="G74" s="0" t="s">
        <v>1137</v>
      </c>
      <c r="H74" s="0" t="s">
        <v>555</v>
      </c>
      <c r="I74" s="0" t="s">
        <v>1217</v>
      </c>
      <c r="J74" s="0" t="s">
        <v>652</v>
      </c>
    </row>
    <row r="75" customFormat="false" ht="15" hidden="false" customHeight="false" outlineLevel="0" collapsed="false">
      <c r="A75" s="0" t="s">
        <v>1132</v>
      </c>
      <c r="B75" s="0" t="n">
        <v>159</v>
      </c>
      <c r="C75" s="0" t="s">
        <v>293</v>
      </c>
      <c r="E75" s="0" t="n">
        <v>2115</v>
      </c>
      <c r="F75" s="0" t="s">
        <v>1218</v>
      </c>
      <c r="G75" s="0" t="s">
        <v>1140</v>
      </c>
      <c r="H75" s="0" t="s">
        <v>555</v>
      </c>
      <c r="I75" s="0" t="s">
        <v>1219</v>
      </c>
      <c r="J75" s="0" t="s">
        <v>652</v>
      </c>
    </row>
    <row r="76" customFormat="false" ht="15" hidden="false" customHeight="false" outlineLevel="0" collapsed="false">
      <c r="A76" s="0" t="s">
        <v>1132</v>
      </c>
      <c r="B76" s="0" t="n">
        <v>4470</v>
      </c>
      <c r="C76" s="0" t="s">
        <v>292</v>
      </c>
      <c r="E76" s="0" t="n">
        <v>2134</v>
      </c>
      <c r="F76" s="0" t="s">
        <v>554</v>
      </c>
      <c r="G76" s="0" t="s">
        <v>1140</v>
      </c>
      <c r="H76" s="0" t="s">
        <v>555</v>
      </c>
      <c r="I76" s="0" t="s">
        <v>1220</v>
      </c>
      <c r="J76" s="0" t="s">
        <v>652</v>
      </c>
    </row>
    <row r="77" customFormat="false" ht="15" hidden="false" customHeight="false" outlineLevel="0" collapsed="false">
      <c r="A77" s="0" t="s">
        <v>1132</v>
      </c>
      <c r="B77" s="0" t="n">
        <v>159</v>
      </c>
      <c r="C77" s="0" t="s">
        <v>293</v>
      </c>
      <c r="E77" s="0" t="n">
        <v>2134</v>
      </c>
      <c r="F77" s="0" t="s">
        <v>554</v>
      </c>
      <c r="G77" s="0" t="s">
        <v>1140</v>
      </c>
      <c r="H77" s="0" t="s">
        <v>555</v>
      </c>
      <c r="I77" s="0" t="s">
        <v>1220</v>
      </c>
      <c r="J77" s="0" t="s">
        <v>652</v>
      </c>
    </row>
    <row r="78" customFormat="false" ht="15" hidden="false" customHeight="false" outlineLevel="0" collapsed="false">
      <c r="A78" s="0" t="s">
        <v>1132</v>
      </c>
      <c r="B78" s="0" t="n">
        <v>159</v>
      </c>
      <c r="C78" s="0" t="s">
        <v>293</v>
      </c>
      <c r="E78" s="0" t="n">
        <v>5688</v>
      </c>
      <c r="F78" s="0" t="s">
        <v>557</v>
      </c>
      <c r="G78" s="0" t="s">
        <v>1134</v>
      </c>
      <c r="H78" s="0" t="s">
        <v>555</v>
      </c>
      <c r="I78" s="0" t="s">
        <v>1221</v>
      </c>
      <c r="J78" s="0" t="s">
        <v>652</v>
      </c>
    </row>
    <row r="79" customFormat="false" ht="15" hidden="false" customHeight="false" outlineLevel="0" collapsed="false">
      <c r="A79" s="0" t="s">
        <v>1132</v>
      </c>
      <c r="B79" s="0" t="n">
        <v>1179</v>
      </c>
      <c r="C79" s="0" t="s">
        <v>308</v>
      </c>
      <c r="E79" s="0" t="n">
        <v>5688</v>
      </c>
      <c r="F79" s="0" t="s">
        <v>557</v>
      </c>
      <c r="G79" s="0" t="s">
        <v>1134</v>
      </c>
      <c r="H79" s="0" t="s">
        <v>555</v>
      </c>
      <c r="I79" s="0" t="s">
        <v>1221</v>
      </c>
      <c r="J79" s="0" t="s">
        <v>652</v>
      </c>
    </row>
    <row r="80" customFormat="false" ht="15" hidden="false" customHeight="false" outlineLevel="0" collapsed="false">
      <c r="A80" s="0" t="s">
        <v>1132</v>
      </c>
      <c r="B80" s="0" t="n">
        <v>159</v>
      </c>
      <c r="C80" s="0" t="s">
        <v>293</v>
      </c>
      <c r="E80" s="0" t="n">
        <v>2352</v>
      </c>
      <c r="F80" s="0" t="s">
        <v>1222</v>
      </c>
      <c r="G80" s="0" t="s">
        <v>1134</v>
      </c>
      <c r="H80" s="0" t="s">
        <v>1029</v>
      </c>
      <c r="I80" s="0" t="s">
        <v>1223</v>
      </c>
      <c r="J80" s="0" t="s">
        <v>874</v>
      </c>
    </row>
    <row r="81" customFormat="false" ht="15" hidden="false" customHeight="false" outlineLevel="0" collapsed="false">
      <c r="A81" s="0" t="s">
        <v>1132</v>
      </c>
      <c r="B81" s="0" t="n">
        <v>1179</v>
      </c>
      <c r="C81" s="0" t="s">
        <v>308</v>
      </c>
      <c r="E81" s="0" t="n">
        <v>2352</v>
      </c>
      <c r="F81" s="0" t="s">
        <v>1222</v>
      </c>
      <c r="G81" s="0" t="s">
        <v>1134</v>
      </c>
      <c r="H81" s="0" t="s">
        <v>1029</v>
      </c>
      <c r="I81" s="0" t="s">
        <v>1223</v>
      </c>
      <c r="J81" s="0" t="s">
        <v>874</v>
      </c>
    </row>
    <row r="82" customFormat="false" ht="15" hidden="false" customHeight="false" outlineLevel="0" collapsed="false">
      <c r="A82" s="0" t="s">
        <v>1132</v>
      </c>
      <c r="B82" s="0" t="n">
        <v>3713</v>
      </c>
      <c r="C82" s="0" t="s">
        <v>277</v>
      </c>
      <c r="E82" s="0" t="n">
        <v>2393</v>
      </c>
      <c r="F82" s="0" t="s">
        <v>1062</v>
      </c>
      <c r="G82" s="0" t="s">
        <v>1172</v>
      </c>
      <c r="H82" s="0" t="s">
        <v>1029</v>
      </c>
      <c r="I82" s="0" t="s">
        <v>1063</v>
      </c>
      <c r="J82" s="0" t="s">
        <v>652</v>
      </c>
    </row>
    <row r="83" customFormat="false" ht="15" hidden="false" customHeight="false" outlineLevel="0" collapsed="false">
      <c r="A83" s="0" t="s">
        <v>1132</v>
      </c>
      <c r="B83" s="0" t="n">
        <v>2678</v>
      </c>
      <c r="C83" s="0" t="s">
        <v>271</v>
      </c>
      <c r="E83" s="0" t="n">
        <v>2393</v>
      </c>
      <c r="F83" s="0" t="s">
        <v>1062</v>
      </c>
      <c r="G83" s="0" t="s">
        <v>1172</v>
      </c>
      <c r="H83" s="0" t="s">
        <v>1029</v>
      </c>
      <c r="I83" s="0" t="s">
        <v>1063</v>
      </c>
      <c r="J83" s="0" t="s">
        <v>652</v>
      </c>
    </row>
    <row r="84" customFormat="false" ht="15" hidden="false" customHeight="false" outlineLevel="0" collapsed="false">
      <c r="A84" s="0" t="s">
        <v>1132</v>
      </c>
      <c r="B84" s="0" t="n">
        <v>2692</v>
      </c>
      <c r="C84" s="0" t="s">
        <v>275</v>
      </c>
      <c r="E84" s="0" t="n">
        <v>2393</v>
      </c>
      <c r="F84" s="0" t="s">
        <v>1062</v>
      </c>
      <c r="G84" s="0" t="s">
        <v>1172</v>
      </c>
      <c r="H84" s="0" t="s">
        <v>1029</v>
      </c>
      <c r="I84" s="0" t="s">
        <v>1063</v>
      </c>
      <c r="J84" s="0" t="s">
        <v>652</v>
      </c>
    </row>
    <row r="85" customFormat="false" ht="15" hidden="false" customHeight="false" outlineLevel="0" collapsed="false">
      <c r="A85" s="0" t="s">
        <v>1132</v>
      </c>
      <c r="B85" s="0" t="n">
        <v>159</v>
      </c>
      <c r="C85" s="0" t="s">
        <v>293</v>
      </c>
      <c r="E85" s="0" t="n">
        <v>2397</v>
      </c>
      <c r="F85" s="0" t="s">
        <v>1224</v>
      </c>
      <c r="G85" s="0" t="s">
        <v>883</v>
      </c>
      <c r="H85" s="0" t="s">
        <v>1029</v>
      </c>
      <c r="I85" s="0" t="s">
        <v>1225</v>
      </c>
      <c r="J85" s="0" t="s">
        <v>652</v>
      </c>
    </row>
    <row r="86" customFormat="false" ht="15" hidden="false" customHeight="false" outlineLevel="0" collapsed="false">
      <c r="A86" s="0" t="s">
        <v>1132</v>
      </c>
      <c r="B86" s="0" t="n">
        <v>3713</v>
      </c>
      <c r="C86" s="0" t="s">
        <v>277</v>
      </c>
      <c r="E86" s="0" t="n">
        <v>2397</v>
      </c>
      <c r="F86" s="0" t="s">
        <v>1224</v>
      </c>
      <c r="G86" s="0" t="s">
        <v>883</v>
      </c>
      <c r="H86" s="0" t="s">
        <v>1029</v>
      </c>
      <c r="I86" s="0" t="s">
        <v>1225</v>
      </c>
      <c r="J86" s="0" t="s">
        <v>652</v>
      </c>
    </row>
    <row r="87" customFormat="false" ht="15" hidden="false" customHeight="false" outlineLevel="0" collapsed="false">
      <c r="A87" s="0" t="s">
        <v>1132</v>
      </c>
      <c r="B87" s="0" t="n">
        <v>2678</v>
      </c>
      <c r="C87" s="0" t="s">
        <v>271</v>
      </c>
      <c r="E87" s="0" t="n">
        <v>2397</v>
      </c>
      <c r="F87" s="0" t="s">
        <v>1224</v>
      </c>
      <c r="G87" s="0" t="s">
        <v>883</v>
      </c>
      <c r="H87" s="0" t="s">
        <v>1029</v>
      </c>
      <c r="I87" s="0" t="s">
        <v>1225</v>
      </c>
      <c r="J87" s="0" t="s">
        <v>652</v>
      </c>
    </row>
    <row r="88" customFormat="false" ht="15" hidden="false" customHeight="false" outlineLevel="0" collapsed="false">
      <c r="A88" s="0" t="s">
        <v>1132</v>
      </c>
      <c r="B88" s="0" t="n">
        <v>2692</v>
      </c>
      <c r="C88" s="0" t="s">
        <v>275</v>
      </c>
      <c r="E88" s="0" t="n">
        <v>2397</v>
      </c>
      <c r="F88" s="0" t="s">
        <v>1224</v>
      </c>
      <c r="G88" s="0" t="s">
        <v>883</v>
      </c>
      <c r="H88" s="0" t="s">
        <v>1029</v>
      </c>
      <c r="I88" s="0" t="s">
        <v>1225</v>
      </c>
      <c r="J88" s="0" t="s">
        <v>652</v>
      </c>
    </row>
    <row r="89" customFormat="false" ht="15" hidden="false" customHeight="false" outlineLevel="0" collapsed="false">
      <c r="A89" s="0" t="s">
        <v>1132</v>
      </c>
      <c r="B89" s="0" t="n">
        <v>4470</v>
      </c>
      <c r="C89" s="0" t="s">
        <v>292</v>
      </c>
      <c r="E89" s="0" t="n">
        <v>2401</v>
      </c>
      <c r="F89" s="0" t="s">
        <v>1226</v>
      </c>
      <c r="G89" s="0" t="s">
        <v>1140</v>
      </c>
      <c r="H89" s="0" t="s">
        <v>1029</v>
      </c>
      <c r="I89" s="0" t="s">
        <v>1227</v>
      </c>
      <c r="J89" s="0" t="s">
        <v>652</v>
      </c>
    </row>
    <row r="90" customFormat="false" ht="15" hidden="false" customHeight="false" outlineLevel="0" collapsed="false">
      <c r="A90" s="0" t="s">
        <v>1132</v>
      </c>
      <c r="B90" s="0" t="n">
        <v>159</v>
      </c>
      <c r="C90" s="0" t="s">
        <v>293</v>
      </c>
      <c r="E90" s="0" t="n">
        <v>2401</v>
      </c>
      <c r="F90" s="0" t="s">
        <v>1226</v>
      </c>
      <c r="G90" s="0" t="s">
        <v>1140</v>
      </c>
      <c r="H90" s="0" t="s">
        <v>1029</v>
      </c>
      <c r="I90" s="0" t="s">
        <v>1227</v>
      </c>
      <c r="J90" s="0" t="s">
        <v>652</v>
      </c>
    </row>
    <row r="91" customFormat="false" ht="15" hidden="false" customHeight="false" outlineLevel="0" collapsed="false">
      <c r="A91" s="0" t="s">
        <v>1132</v>
      </c>
      <c r="B91" s="0" t="n">
        <v>1179</v>
      </c>
      <c r="C91" s="0" t="s">
        <v>308</v>
      </c>
      <c r="E91" s="0" t="n">
        <v>2401</v>
      </c>
      <c r="F91" s="0" t="s">
        <v>1226</v>
      </c>
      <c r="G91" s="0" t="s">
        <v>1140</v>
      </c>
      <c r="H91" s="0" t="s">
        <v>1029</v>
      </c>
      <c r="I91" s="0" t="s">
        <v>1227</v>
      </c>
      <c r="J91" s="0" t="s">
        <v>652</v>
      </c>
    </row>
    <row r="92" customFormat="false" ht="15" hidden="false" customHeight="false" outlineLevel="0" collapsed="false">
      <c r="A92" s="0" t="s">
        <v>1132</v>
      </c>
      <c r="B92" s="0" t="n">
        <v>159</v>
      </c>
      <c r="C92" s="0" t="s">
        <v>293</v>
      </c>
      <c r="E92" s="0" t="n">
        <v>2366</v>
      </c>
      <c r="F92" s="0" t="s">
        <v>1228</v>
      </c>
      <c r="G92" s="0" t="s">
        <v>1175</v>
      </c>
      <c r="H92" s="0" t="s">
        <v>1029</v>
      </c>
      <c r="I92" s="0" t="s">
        <v>1229</v>
      </c>
      <c r="J92" s="0" t="s">
        <v>874</v>
      </c>
    </row>
    <row r="93" customFormat="false" ht="15" hidden="false" customHeight="false" outlineLevel="0" collapsed="false">
      <c r="A93" s="0" t="s">
        <v>1132</v>
      </c>
      <c r="B93" s="0" t="n">
        <v>1179</v>
      </c>
      <c r="C93" s="0" t="s">
        <v>308</v>
      </c>
      <c r="E93" s="0" t="n">
        <v>2366</v>
      </c>
      <c r="F93" s="0" t="s">
        <v>1228</v>
      </c>
      <c r="G93" s="0" t="s">
        <v>1175</v>
      </c>
      <c r="H93" s="0" t="s">
        <v>1029</v>
      </c>
      <c r="I93" s="0" t="s">
        <v>1229</v>
      </c>
      <c r="J93" s="0" t="s">
        <v>874</v>
      </c>
    </row>
    <row r="94" customFormat="false" ht="15" hidden="false" customHeight="false" outlineLevel="0" collapsed="false">
      <c r="A94" s="0" t="s">
        <v>1132</v>
      </c>
      <c r="B94" s="0" t="n">
        <v>159</v>
      </c>
      <c r="C94" s="0" t="s">
        <v>293</v>
      </c>
      <c r="E94" s="0" t="n">
        <v>2381</v>
      </c>
      <c r="F94" s="0" t="s">
        <v>1230</v>
      </c>
      <c r="G94" s="0" t="s">
        <v>1137</v>
      </c>
      <c r="H94" s="0" t="s">
        <v>1029</v>
      </c>
      <c r="I94" s="0" t="s">
        <v>1231</v>
      </c>
      <c r="J94" s="0" t="s">
        <v>874</v>
      </c>
    </row>
    <row r="95" customFormat="false" ht="15" hidden="false" customHeight="false" outlineLevel="0" collapsed="false">
      <c r="A95" s="0" t="s">
        <v>1132</v>
      </c>
      <c r="B95" s="0" t="n">
        <v>3713</v>
      </c>
      <c r="C95" s="0" t="s">
        <v>277</v>
      </c>
      <c r="E95" s="0" t="n">
        <v>2381</v>
      </c>
      <c r="F95" s="0" t="s">
        <v>1230</v>
      </c>
      <c r="G95" s="0" t="s">
        <v>1137</v>
      </c>
      <c r="H95" s="0" t="s">
        <v>1029</v>
      </c>
      <c r="I95" s="0" t="s">
        <v>1231</v>
      </c>
      <c r="J95" s="0" t="s">
        <v>874</v>
      </c>
    </row>
    <row r="96" customFormat="false" ht="15" hidden="false" customHeight="false" outlineLevel="0" collapsed="false">
      <c r="A96" s="0" t="s">
        <v>1132</v>
      </c>
      <c r="B96" s="0" t="n">
        <v>2678</v>
      </c>
      <c r="C96" s="0" t="s">
        <v>271</v>
      </c>
      <c r="E96" s="0" t="n">
        <v>2381</v>
      </c>
      <c r="F96" s="0" t="s">
        <v>1230</v>
      </c>
      <c r="G96" s="0" t="s">
        <v>1137</v>
      </c>
      <c r="H96" s="0" t="s">
        <v>1029</v>
      </c>
      <c r="I96" s="0" t="s">
        <v>1231</v>
      </c>
      <c r="J96" s="0" t="s">
        <v>874</v>
      </c>
    </row>
    <row r="97" customFormat="false" ht="15" hidden="false" customHeight="false" outlineLevel="0" collapsed="false">
      <c r="A97" s="0" t="s">
        <v>1132</v>
      </c>
      <c r="B97" s="0" t="n">
        <v>2692</v>
      </c>
      <c r="C97" s="0" t="s">
        <v>275</v>
      </c>
      <c r="E97" s="0" t="n">
        <v>2381</v>
      </c>
      <c r="F97" s="0" t="s">
        <v>1230</v>
      </c>
      <c r="G97" s="0" t="s">
        <v>1137</v>
      </c>
      <c r="H97" s="0" t="s">
        <v>1029</v>
      </c>
      <c r="I97" s="0" t="s">
        <v>1231</v>
      </c>
      <c r="J97" s="0" t="s">
        <v>874</v>
      </c>
    </row>
    <row r="98" customFormat="false" ht="15" hidden="false" customHeight="false" outlineLevel="0" collapsed="false">
      <c r="A98" s="0" t="s">
        <v>1132</v>
      </c>
      <c r="B98" s="0" t="n">
        <v>159</v>
      </c>
      <c r="C98" s="0" t="s">
        <v>293</v>
      </c>
      <c r="E98" s="0" t="n">
        <v>2364</v>
      </c>
      <c r="F98" s="0" t="s">
        <v>1232</v>
      </c>
      <c r="G98" s="0" t="s">
        <v>1190</v>
      </c>
      <c r="H98" s="0" t="s">
        <v>1029</v>
      </c>
      <c r="I98" s="0" t="s">
        <v>1233</v>
      </c>
      <c r="J98" s="0" t="s">
        <v>874</v>
      </c>
    </row>
    <row r="99" customFormat="false" ht="15" hidden="false" customHeight="false" outlineLevel="0" collapsed="false">
      <c r="A99" s="0" t="s">
        <v>1132</v>
      </c>
      <c r="B99" s="0" t="n">
        <v>1179</v>
      </c>
      <c r="C99" s="0" t="s">
        <v>308</v>
      </c>
      <c r="E99" s="0" t="n">
        <v>2364</v>
      </c>
      <c r="F99" s="0" t="s">
        <v>1232</v>
      </c>
      <c r="G99" s="0" t="s">
        <v>1190</v>
      </c>
      <c r="H99" s="0" t="s">
        <v>1029</v>
      </c>
      <c r="I99" s="0" t="s">
        <v>1233</v>
      </c>
      <c r="J99" s="0" t="s">
        <v>874</v>
      </c>
    </row>
    <row r="100" customFormat="false" ht="15" hidden="false" customHeight="false" outlineLevel="0" collapsed="false">
      <c r="A100" s="0" t="s">
        <v>1132</v>
      </c>
      <c r="B100" s="0" t="n">
        <v>4470</v>
      </c>
      <c r="C100" s="0" t="s">
        <v>292</v>
      </c>
      <c r="E100" s="0" t="n">
        <v>3541</v>
      </c>
      <c r="F100" s="0" t="s">
        <v>1234</v>
      </c>
      <c r="G100" s="0" t="s">
        <v>1140</v>
      </c>
      <c r="H100" s="0" t="s">
        <v>1029</v>
      </c>
      <c r="I100" s="0" t="s">
        <v>1235</v>
      </c>
      <c r="J100" s="0" t="s">
        <v>874</v>
      </c>
    </row>
    <row r="101" customFormat="false" ht="15" hidden="false" customHeight="false" outlineLevel="0" collapsed="false">
      <c r="A101" s="0" t="s">
        <v>1132</v>
      </c>
      <c r="B101" s="0" t="n">
        <v>159</v>
      </c>
      <c r="C101" s="0" t="s">
        <v>293</v>
      </c>
      <c r="E101" s="0" t="n">
        <v>3541</v>
      </c>
      <c r="F101" s="0" t="s">
        <v>1234</v>
      </c>
      <c r="G101" s="0" t="s">
        <v>1140</v>
      </c>
      <c r="H101" s="0" t="s">
        <v>1029</v>
      </c>
      <c r="I101" s="0" t="s">
        <v>1235</v>
      </c>
      <c r="J101" s="0" t="s">
        <v>874</v>
      </c>
    </row>
    <row r="102" customFormat="false" ht="15" hidden="false" customHeight="false" outlineLevel="0" collapsed="false">
      <c r="A102" s="0" t="s">
        <v>1132</v>
      </c>
      <c r="B102" s="0" t="n">
        <v>1179</v>
      </c>
      <c r="C102" s="0" t="s">
        <v>308</v>
      </c>
      <c r="E102" s="0" t="n">
        <v>3541</v>
      </c>
      <c r="F102" s="0" t="s">
        <v>1234</v>
      </c>
      <c r="G102" s="0" t="s">
        <v>1140</v>
      </c>
      <c r="H102" s="0" t="s">
        <v>1029</v>
      </c>
      <c r="I102" s="0" t="s">
        <v>1235</v>
      </c>
      <c r="J102" s="0" t="s">
        <v>874</v>
      </c>
    </row>
    <row r="103" customFormat="false" ht="15" hidden="false" customHeight="false" outlineLevel="0" collapsed="false">
      <c r="A103" s="0" t="s">
        <v>1132</v>
      </c>
      <c r="B103" s="0" t="n">
        <v>159</v>
      </c>
      <c r="C103" s="0" t="s">
        <v>293</v>
      </c>
      <c r="E103" s="0" t="n">
        <v>2388</v>
      </c>
      <c r="F103" s="0" t="s">
        <v>1236</v>
      </c>
      <c r="G103" s="0" t="s">
        <v>1134</v>
      </c>
      <c r="H103" s="0" t="s">
        <v>1029</v>
      </c>
      <c r="I103" s="0" t="s">
        <v>1237</v>
      </c>
      <c r="J103" s="0" t="s">
        <v>652</v>
      </c>
    </row>
    <row r="104" customFormat="false" ht="15" hidden="false" customHeight="false" outlineLevel="0" collapsed="false">
      <c r="A104" s="0" t="s">
        <v>1132</v>
      </c>
      <c r="B104" s="0" t="n">
        <v>1179</v>
      </c>
      <c r="C104" s="0" t="s">
        <v>308</v>
      </c>
      <c r="E104" s="0" t="n">
        <v>2388</v>
      </c>
      <c r="F104" s="0" t="s">
        <v>1236</v>
      </c>
      <c r="G104" s="0" t="s">
        <v>1134</v>
      </c>
      <c r="H104" s="0" t="s">
        <v>1029</v>
      </c>
      <c r="I104" s="0" t="s">
        <v>1237</v>
      </c>
      <c r="J104" s="0" t="s">
        <v>652</v>
      </c>
    </row>
    <row r="105" customFormat="false" ht="15" hidden="false" customHeight="false" outlineLevel="0" collapsed="false">
      <c r="A105" s="0" t="s">
        <v>1132</v>
      </c>
      <c r="B105" s="0" t="n">
        <v>4470</v>
      </c>
      <c r="C105" s="0" t="s">
        <v>292</v>
      </c>
      <c r="E105" s="0" t="n">
        <v>12959</v>
      </c>
      <c r="F105" s="0" t="s">
        <v>1238</v>
      </c>
      <c r="G105" s="0" t="s">
        <v>1178</v>
      </c>
      <c r="H105" s="0" t="s">
        <v>1239</v>
      </c>
      <c r="I105" s="0" t="s">
        <v>1240</v>
      </c>
      <c r="J105" s="0" t="s">
        <v>920</v>
      </c>
    </row>
    <row r="106" customFormat="false" ht="15" hidden="false" customHeight="false" outlineLevel="0" collapsed="false">
      <c r="A106" s="0" t="s">
        <v>1132</v>
      </c>
      <c r="B106" s="0" t="n">
        <v>159</v>
      </c>
      <c r="C106" s="0" t="s">
        <v>293</v>
      </c>
      <c r="E106" s="0" t="n">
        <v>12959</v>
      </c>
      <c r="F106" s="0" t="s">
        <v>1238</v>
      </c>
      <c r="G106" s="0" t="s">
        <v>1178</v>
      </c>
      <c r="H106" s="0" t="s">
        <v>1239</v>
      </c>
      <c r="I106" s="0" t="s">
        <v>1240</v>
      </c>
      <c r="J106" s="0" t="s">
        <v>920</v>
      </c>
    </row>
    <row r="107" customFormat="false" ht="15" hidden="false" customHeight="false" outlineLevel="0" collapsed="false">
      <c r="A107" s="0" t="s">
        <v>1132</v>
      </c>
      <c r="B107" s="0" t="n">
        <v>1179</v>
      </c>
      <c r="C107" s="0" t="s">
        <v>308</v>
      </c>
      <c r="E107" s="0" t="n">
        <v>12959</v>
      </c>
      <c r="F107" s="0" t="s">
        <v>1238</v>
      </c>
      <c r="G107" s="0" t="s">
        <v>1178</v>
      </c>
      <c r="H107" s="0" t="s">
        <v>1239</v>
      </c>
      <c r="I107" s="0" t="s">
        <v>1240</v>
      </c>
      <c r="J107" s="0" t="s">
        <v>920</v>
      </c>
    </row>
    <row r="108" customFormat="false" ht="15" hidden="false" customHeight="false" outlineLevel="0" collapsed="false">
      <c r="A108" s="0" t="s">
        <v>1132</v>
      </c>
      <c r="B108" s="0" t="n">
        <v>159</v>
      </c>
      <c r="C108" s="0" t="s">
        <v>293</v>
      </c>
      <c r="E108" s="0" t="n">
        <v>4167</v>
      </c>
      <c r="F108" s="0" t="s">
        <v>1241</v>
      </c>
      <c r="G108" s="0" t="s">
        <v>1145</v>
      </c>
      <c r="H108" s="0" t="s">
        <v>876</v>
      </c>
      <c r="I108" s="0" t="s">
        <v>1242</v>
      </c>
      <c r="J108" s="0" t="s">
        <v>874</v>
      </c>
    </row>
    <row r="109" customFormat="false" ht="15" hidden="false" customHeight="false" outlineLevel="0" collapsed="false">
      <c r="A109" s="0" t="s">
        <v>1132</v>
      </c>
      <c r="B109" s="0" t="n">
        <v>1179</v>
      </c>
      <c r="C109" s="0" t="s">
        <v>308</v>
      </c>
      <c r="E109" s="0" t="n">
        <v>4167</v>
      </c>
      <c r="F109" s="0" t="s">
        <v>1241</v>
      </c>
      <c r="G109" s="0" t="s">
        <v>1145</v>
      </c>
      <c r="H109" s="0" t="s">
        <v>876</v>
      </c>
      <c r="I109" s="0" t="s">
        <v>1242</v>
      </c>
      <c r="J109" s="0" t="s">
        <v>874</v>
      </c>
    </row>
    <row r="110" customFormat="false" ht="15" hidden="false" customHeight="false" outlineLevel="0" collapsed="false">
      <c r="A110" s="0" t="s">
        <v>1132</v>
      </c>
      <c r="B110" s="0" t="n">
        <v>4470</v>
      </c>
      <c r="C110" s="0" t="s">
        <v>292</v>
      </c>
      <c r="E110" s="0" t="n">
        <v>4170</v>
      </c>
      <c r="F110" s="0" t="s">
        <v>1243</v>
      </c>
      <c r="G110" s="0" t="s">
        <v>1178</v>
      </c>
      <c r="H110" s="0" t="s">
        <v>876</v>
      </c>
      <c r="I110" s="0" t="s">
        <v>1244</v>
      </c>
      <c r="J110" s="0" t="s">
        <v>874</v>
      </c>
    </row>
    <row r="111" customFormat="false" ht="15" hidden="false" customHeight="false" outlineLevel="0" collapsed="false">
      <c r="A111" s="0" t="s">
        <v>1132</v>
      </c>
      <c r="B111" s="0" t="n">
        <v>159</v>
      </c>
      <c r="C111" s="0" t="s">
        <v>293</v>
      </c>
      <c r="E111" s="0" t="n">
        <v>4170</v>
      </c>
      <c r="F111" s="0" t="s">
        <v>1243</v>
      </c>
      <c r="G111" s="0" t="s">
        <v>1178</v>
      </c>
      <c r="H111" s="0" t="s">
        <v>876</v>
      </c>
      <c r="I111" s="0" t="s">
        <v>1244</v>
      </c>
      <c r="J111" s="0" t="s">
        <v>874</v>
      </c>
    </row>
    <row r="112" customFormat="false" ht="15" hidden="false" customHeight="false" outlineLevel="0" collapsed="false">
      <c r="A112" s="0" t="s">
        <v>1132</v>
      </c>
      <c r="B112" s="0" t="n">
        <v>159</v>
      </c>
      <c r="C112" s="0" t="s">
        <v>293</v>
      </c>
      <c r="E112" s="0" t="n">
        <v>4223</v>
      </c>
      <c r="F112" s="0" t="s">
        <v>1245</v>
      </c>
      <c r="G112" s="0" t="s">
        <v>1193</v>
      </c>
      <c r="H112" s="0" t="s">
        <v>876</v>
      </c>
      <c r="I112" s="0" t="s">
        <v>1246</v>
      </c>
      <c r="J112" s="0" t="s">
        <v>874</v>
      </c>
    </row>
    <row r="113" customFormat="false" ht="15" hidden="false" customHeight="false" outlineLevel="0" collapsed="false">
      <c r="A113" s="0" t="s">
        <v>1132</v>
      </c>
      <c r="B113" s="0" t="n">
        <v>3713</v>
      </c>
      <c r="C113" s="0" t="s">
        <v>277</v>
      </c>
      <c r="E113" s="0" t="n">
        <v>4223</v>
      </c>
      <c r="F113" s="0" t="s">
        <v>1245</v>
      </c>
      <c r="G113" s="0" t="s">
        <v>1193</v>
      </c>
      <c r="H113" s="0" t="s">
        <v>876</v>
      </c>
      <c r="I113" s="0" t="s">
        <v>1246</v>
      </c>
      <c r="J113" s="0" t="s">
        <v>874</v>
      </c>
    </row>
    <row r="114" customFormat="false" ht="15" hidden="false" customHeight="false" outlineLevel="0" collapsed="false">
      <c r="A114" s="0" t="s">
        <v>1132</v>
      </c>
      <c r="B114" s="0" t="n">
        <v>2678</v>
      </c>
      <c r="C114" s="0" t="s">
        <v>271</v>
      </c>
      <c r="E114" s="0" t="n">
        <v>4223</v>
      </c>
      <c r="F114" s="0" t="s">
        <v>1245</v>
      </c>
      <c r="G114" s="0" t="s">
        <v>1193</v>
      </c>
      <c r="H114" s="0" t="s">
        <v>876</v>
      </c>
      <c r="I114" s="0" t="s">
        <v>1246</v>
      </c>
      <c r="J114" s="0" t="s">
        <v>874</v>
      </c>
    </row>
    <row r="115" customFormat="false" ht="15" hidden="false" customHeight="false" outlineLevel="0" collapsed="false">
      <c r="A115" s="0" t="s">
        <v>1132</v>
      </c>
      <c r="B115" s="0" t="n">
        <v>2692</v>
      </c>
      <c r="C115" s="0" t="s">
        <v>275</v>
      </c>
      <c r="E115" s="0" t="n">
        <v>4223</v>
      </c>
      <c r="F115" s="0" t="s">
        <v>1245</v>
      </c>
      <c r="G115" s="0" t="s">
        <v>1193</v>
      </c>
      <c r="H115" s="0" t="s">
        <v>876</v>
      </c>
      <c r="I115" s="0" t="s">
        <v>1246</v>
      </c>
      <c r="J115" s="0" t="s">
        <v>874</v>
      </c>
    </row>
    <row r="116" customFormat="false" ht="15" hidden="false" customHeight="false" outlineLevel="0" collapsed="false">
      <c r="A116" s="0" t="s">
        <v>1132</v>
      </c>
      <c r="B116" s="0" t="n">
        <v>159</v>
      </c>
      <c r="C116" s="0" t="s">
        <v>293</v>
      </c>
      <c r="E116" s="0" t="n">
        <v>4181</v>
      </c>
      <c r="F116" s="0" t="s">
        <v>1247</v>
      </c>
      <c r="G116" s="0" t="s">
        <v>1145</v>
      </c>
      <c r="H116" s="0" t="s">
        <v>876</v>
      </c>
      <c r="I116" s="0" t="s">
        <v>1248</v>
      </c>
      <c r="J116" s="0" t="s">
        <v>874</v>
      </c>
    </row>
    <row r="117" customFormat="false" ht="15" hidden="false" customHeight="false" outlineLevel="0" collapsed="false">
      <c r="A117" s="0" t="s">
        <v>1132</v>
      </c>
      <c r="B117" s="0" t="n">
        <v>1179</v>
      </c>
      <c r="C117" s="0" t="s">
        <v>308</v>
      </c>
      <c r="E117" s="0" t="n">
        <v>4181</v>
      </c>
      <c r="F117" s="0" t="s">
        <v>1247</v>
      </c>
      <c r="G117" s="0" t="s">
        <v>1145</v>
      </c>
      <c r="H117" s="0" t="s">
        <v>876</v>
      </c>
      <c r="I117" s="0" t="s">
        <v>1248</v>
      </c>
      <c r="J117" s="0" t="s">
        <v>874</v>
      </c>
    </row>
    <row r="118" customFormat="false" ht="15" hidden="false" customHeight="false" outlineLevel="0" collapsed="false">
      <c r="A118" s="0" t="s">
        <v>1132</v>
      </c>
      <c r="B118" s="0" t="n">
        <v>159</v>
      </c>
      <c r="C118" s="0" t="s">
        <v>293</v>
      </c>
      <c r="E118" s="0" t="n">
        <v>4169</v>
      </c>
      <c r="F118" s="0" t="s">
        <v>1249</v>
      </c>
      <c r="G118" s="0" t="s">
        <v>1250</v>
      </c>
      <c r="H118" s="0" t="s">
        <v>876</v>
      </c>
      <c r="I118" s="0" t="s">
        <v>1251</v>
      </c>
      <c r="J118" s="0" t="s">
        <v>874</v>
      </c>
    </row>
    <row r="119" customFormat="false" ht="15" hidden="false" customHeight="false" outlineLevel="0" collapsed="false">
      <c r="A119" s="0" t="s">
        <v>1132</v>
      </c>
      <c r="B119" s="0" t="n">
        <v>1179</v>
      </c>
      <c r="C119" s="0" t="s">
        <v>308</v>
      </c>
      <c r="E119" s="0" t="n">
        <v>4169</v>
      </c>
      <c r="F119" s="0" t="s">
        <v>1249</v>
      </c>
      <c r="G119" s="0" t="s">
        <v>1250</v>
      </c>
      <c r="H119" s="0" t="s">
        <v>876</v>
      </c>
      <c r="I119" s="0" t="s">
        <v>1251</v>
      </c>
      <c r="J119" s="0" t="s">
        <v>874</v>
      </c>
    </row>
    <row r="120" customFormat="false" ht="15" hidden="false" customHeight="false" outlineLevel="0" collapsed="false">
      <c r="A120" s="0" t="s">
        <v>1132</v>
      </c>
      <c r="B120" s="0" t="n">
        <v>4470</v>
      </c>
      <c r="C120" s="0" t="s">
        <v>292</v>
      </c>
      <c r="E120" s="0" t="n">
        <v>4241</v>
      </c>
      <c r="F120" s="0" t="s">
        <v>1252</v>
      </c>
      <c r="G120" s="0" t="s">
        <v>1178</v>
      </c>
      <c r="H120" s="0" t="s">
        <v>876</v>
      </c>
      <c r="I120" s="0" t="s">
        <v>1253</v>
      </c>
      <c r="J120" s="0" t="s">
        <v>874</v>
      </c>
    </row>
    <row r="121" customFormat="false" ht="15" hidden="false" customHeight="false" outlineLevel="0" collapsed="false">
      <c r="A121" s="0" t="s">
        <v>1132</v>
      </c>
      <c r="B121" s="0" t="n">
        <v>159</v>
      </c>
      <c r="C121" s="0" t="s">
        <v>293</v>
      </c>
      <c r="E121" s="0" t="n">
        <v>4241</v>
      </c>
      <c r="F121" s="0" t="s">
        <v>1252</v>
      </c>
      <c r="G121" s="0" t="s">
        <v>1178</v>
      </c>
      <c r="H121" s="0" t="s">
        <v>876</v>
      </c>
      <c r="I121" s="0" t="s">
        <v>1253</v>
      </c>
      <c r="J121" s="0" t="s">
        <v>874</v>
      </c>
    </row>
    <row r="122" customFormat="false" ht="15" hidden="false" customHeight="false" outlineLevel="0" collapsed="false">
      <c r="A122" s="0" t="s">
        <v>1132</v>
      </c>
      <c r="B122" s="0" t="n">
        <v>3713</v>
      </c>
      <c r="C122" s="0" t="s">
        <v>277</v>
      </c>
      <c r="E122" s="0" t="n">
        <v>4229</v>
      </c>
      <c r="F122" s="0" t="s">
        <v>1254</v>
      </c>
      <c r="G122" s="0" t="s">
        <v>1140</v>
      </c>
      <c r="H122" s="0" t="s">
        <v>876</v>
      </c>
      <c r="I122" s="0" t="s">
        <v>1255</v>
      </c>
      <c r="J122" s="0" t="s">
        <v>874</v>
      </c>
    </row>
    <row r="123" customFormat="false" ht="15" hidden="false" customHeight="false" outlineLevel="0" collapsed="false">
      <c r="A123" s="0" t="s">
        <v>1132</v>
      </c>
      <c r="B123" s="0" t="n">
        <v>2678</v>
      </c>
      <c r="C123" s="0" t="s">
        <v>271</v>
      </c>
      <c r="E123" s="0" t="n">
        <v>4229</v>
      </c>
      <c r="F123" s="0" t="s">
        <v>1254</v>
      </c>
      <c r="G123" s="0" t="s">
        <v>1140</v>
      </c>
      <c r="H123" s="0" t="s">
        <v>876</v>
      </c>
      <c r="I123" s="0" t="s">
        <v>1255</v>
      </c>
      <c r="J123" s="0" t="s">
        <v>874</v>
      </c>
    </row>
    <row r="124" customFormat="false" ht="15" hidden="false" customHeight="false" outlineLevel="0" collapsed="false">
      <c r="A124" s="0" t="s">
        <v>1132</v>
      </c>
      <c r="B124" s="0" t="n">
        <v>2692</v>
      </c>
      <c r="C124" s="0" t="s">
        <v>275</v>
      </c>
      <c r="E124" s="0" t="n">
        <v>4229</v>
      </c>
      <c r="F124" s="0" t="s">
        <v>1254</v>
      </c>
      <c r="G124" s="0" t="s">
        <v>1140</v>
      </c>
      <c r="H124" s="0" t="s">
        <v>876</v>
      </c>
      <c r="I124" s="0" t="s">
        <v>1255</v>
      </c>
      <c r="J124" s="0" t="s">
        <v>874</v>
      </c>
    </row>
    <row r="125" customFormat="false" ht="15" hidden="false" customHeight="false" outlineLevel="0" collapsed="false">
      <c r="A125" s="0" t="s">
        <v>1132</v>
      </c>
      <c r="B125" s="0" t="n">
        <v>159</v>
      </c>
      <c r="C125" s="0" t="s">
        <v>293</v>
      </c>
      <c r="E125" s="0" t="n">
        <v>6735</v>
      </c>
      <c r="F125" s="0" t="s">
        <v>1256</v>
      </c>
      <c r="G125" s="0" t="s">
        <v>1134</v>
      </c>
      <c r="H125" s="0" t="s">
        <v>876</v>
      </c>
      <c r="I125" s="0" t="s">
        <v>1257</v>
      </c>
      <c r="J125" s="0" t="s">
        <v>874</v>
      </c>
    </row>
    <row r="126" customFormat="false" ht="15" hidden="false" customHeight="false" outlineLevel="0" collapsed="false">
      <c r="A126" s="0" t="s">
        <v>1132</v>
      </c>
      <c r="B126" s="0" t="n">
        <v>1179</v>
      </c>
      <c r="C126" s="0" t="s">
        <v>308</v>
      </c>
      <c r="E126" s="0" t="n">
        <v>6735</v>
      </c>
      <c r="F126" s="0" t="s">
        <v>1256</v>
      </c>
      <c r="G126" s="0" t="s">
        <v>1134</v>
      </c>
      <c r="H126" s="0" t="s">
        <v>876</v>
      </c>
      <c r="I126" s="0" t="s">
        <v>1257</v>
      </c>
      <c r="J126" s="0" t="s">
        <v>874</v>
      </c>
    </row>
    <row r="127" customFormat="false" ht="15" hidden="false" customHeight="false" outlineLevel="0" collapsed="false">
      <c r="A127" s="0" t="s">
        <v>1132</v>
      </c>
      <c r="B127" s="0" t="n">
        <v>4536</v>
      </c>
      <c r="C127" s="0" t="s">
        <v>316</v>
      </c>
      <c r="E127" s="0" t="n">
        <v>6735</v>
      </c>
      <c r="F127" s="0" t="s">
        <v>1256</v>
      </c>
      <c r="G127" s="0" t="s">
        <v>1134</v>
      </c>
      <c r="H127" s="0" t="s">
        <v>876</v>
      </c>
      <c r="I127" s="0" t="s">
        <v>1257</v>
      </c>
      <c r="J127" s="0" t="s">
        <v>874</v>
      </c>
    </row>
    <row r="128" customFormat="false" ht="15" hidden="false" customHeight="false" outlineLevel="0" collapsed="false">
      <c r="A128" s="0" t="s">
        <v>1132</v>
      </c>
      <c r="B128" s="0" t="n">
        <v>4470</v>
      </c>
      <c r="C128" s="0" t="s">
        <v>292</v>
      </c>
      <c r="E128" s="0" t="n">
        <v>4228</v>
      </c>
      <c r="F128" s="0" t="s">
        <v>1258</v>
      </c>
      <c r="G128" s="0" t="s">
        <v>1202</v>
      </c>
      <c r="H128" s="0" t="s">
        <v>876</v>
      </c>
      <c r="I128" s="0" t="s">
        <v>1259</v>
      </c>
      <c r="J128" s="0" t="s">
        <v>874</v>
      </c>
    </row>
    <row r="129" customFormat="false" ht="15" hidden="false" customHeight="false" outlineLevel="0" collapsed="false">
      <c r="A129" s="0" t="s">
        <v>1132</v>
      </c>
      <c r="B129" s="0" t="n">
        <v>159</v>
      </c>
      <c r="C129" s="0" t="s">
        <v>293</v>
      </c>
      <c r="E129" s="0" t="n">
        <v>829</v>
      </c>
      <c r="F129" s="0" t="s">
        <v>1260</v>
      </c>
      <c r="G129" s="0" t="s">
        <v>1140</v>
      </c>
      <c r="H129" s="0" t="s">
        <v>427</v>
      </c>
      <c r="I129" s="0" t="s">
        <v>1261</v>
      </c>
      <c r="J129" s="0" t="s">
        <v>874</v>
      </c>
    </row>
    <row r="130" customFormat="false" ht="15" hidden="false" customHeight="false" outlineLevel="0" collapsed="false">
      <c r="A130" s="0" t="s">
        <v>1132</v>
      </c>
      <c r="B130" s="0" t="n">
        <v>2894</v>
      </c>
      <c r="C130" s="0" t="s">
        <v>307</v>
      </c>
      <c r="E130" s="0" t="n">
        <v>1247</v>
      </c>
      <c r="F130" s="0" t="s">
        <v>1262</v>
      </c>
      <c r="G130" s="0" t="s">
        <v>1134</v>
      </c>
      <c r="H130" s="0" t="s">
        <v>427</v>
      </c>
      <c r="I130" s="0" t="s">
        <v>1263</v>
      </c>
      <c r="J130" s="0" t="s">
        <v>874</v>
      </c>
    </row>
    <row r="131" customFormat="false" ht="15" hidden="false" customHeight="false" outlineLevel="0" collapsed="false">
      <c r="A131" s="0" t="s">
        <v>1132</v>
      </c>
      <c r="B131" s="0" t="n">
        <v>159</v>
      </c>
      <c r="C131" s="0" t="s">
        <v>293</v>
      </c>
      <c r="E131" s="0" t="n">
        <v>1247</v>
      </c>
      <c r="F131" s="0" t="s">
        <v>1262</v>
      </c>
      <c r="G131" s="0" t="s">
        <v>1134</v>
      </c>
      <c r="H131" s="0" t="s">
        <v>427</v>
      </c>
      <c r="I131" s="0" t="s">
        <v>1263</v>
      </c>
      <c r="J131" s="0" t="s">
        <v>874</v>
      </c>
    </row>
    <row r="132" customFormat="false" ht="15" hidden="false" customHeight="false" outlineLevel="0" collapsed="false">
      <c r="A132" s="0" t="s">
        <v>1132</v>
      </c>
      <c r="B132" s="0" t="n">
        <v>1179</v>
      </c>
      <c r="C132" s="0" t="s">
        <v>308</v>
      </c>
      <c r="E132" s="0" t="n">
        <v>1247</v>
      </c>
      <c r="F132" s="0" t="s">
        <v>1262</v>
      </c>
      <c r="G132" s="0" t="s">
        <v>1134</v>
      </c>
      <c r="H132" s="0" t="s">
        <v>427</v>
      </c>
      <c r="I132" s="0" t="s">
        <v>1263</v>
      </c>
      <c r="J132" s="0" t="s">
        <v>874</v>
      </c>
    </row>
    <row r="133" customFormat="false" ht="15" hidden="false" customHeight="false" outlineLevel="0" collapsed="false">
      <c r="A133" s="0" t="s">
        <v>1132</v>
      </c>
      <c r="B133" s="0" t="n">
        <v>2678</v>
      </c>
      <c r="C133" s="0" t="s">
        <v>271</v>
      </c>
      <c r="E133" s="0" t="n">
        <v>1692</v>
      </c>
      <c r="F133" s="0" t="s">
        <v>1264</v>
      </c>
      <c r="G133" s="0" t="s">
        <v>1172</v>
      </c>
      <c r="H133" s="0" t="s">
        <v>427</v>
      </c>
      <c r="I133" s="0" t="s">
        <v>1265</v>
      </c>
      <c r="J133" s="0" t="s">
        <v>874</v>
      </c>
    </row>
    <row r="134" customFormat="false" ht="15" hidden="false" customHeight="false" outlineLevel="0" collapsed="false">
      <c r="A134" s="0" t="s">
        <v>1132</v>
      </c>
      <c r="B134" s="0" t="n">
        <v>159</v>
      </c>
      <c r="C134" s="0" t="s">
        <v>293</v>
      </c>
      <c r="E134" s="0" t="n">
        <v>1237</v>
      </c>
      <c r="F134" s="0" t="s">
        <v>1266</v>
      </c>
      <c r="G134" s="0" t="s">
        <v>1145</v>
      </c>
      <c r="H134" s="0" t="s">
        <v>427</v>
      </c>
      <c r="I134" s="0" t="s">
        <v>1267</v>
      </c>
      <c r="J134" s="0" t="s">
        <v>874</v>
      </c>
    </row>
    <row r="135" customFormat="false" ht="15" hidden="false" customHeight="false" outlineLevel="0" collapsed="false">
      <c r="A135" s="0" t="s">
        <v>1132</v>
      </c>
      <c r="B135" s="0" t="n">
        <v>1179</v>
      </c>
      <c r="C135" s="0" t="s">
        <v>308</v>
      </c>
      <c r="E135" s="0" t="n">
        <v>1237</v>
      </c>
      <c r="F135" s="0" t="s">
        <v>1266</v>
      </c>
      <c r="G135" s="0" t="s">
        <v>1145</v>
      </c>
      <c r="H135" s="0" t="s">
        <v>427</v>
      </c>
      <c r="I135" s="0" t="s">
        <v>1267</v>
      </c>
      <c r="J135" s="0" t="s">
        <v>874</v>
      </c>
    </row>
    <row r="136" customFormat="false" ht="15" hidden="false" customHeight="false" outlineLevel="0" collapsed="false">
      <c r="A136" s="0" t="s">
        <v>1132</v>
      </c>
      <c r="B136" s="0" t="n">
        <v>159</v>
      </c>
      <c r="C136" s="0" t="s">
        <v>293</v>
      </c>
      <c r="E136" s="0" t="n">
        <v>1697</v>
      </c>
      <c r="F136" s="0" t="s">
        <v>1268</v>
      </c>
      <c r="G136" s="0" t="s">
        <v>1269</v>
      </c>
      <c r="H136" s="0" t="s">
        <v>427</v>
      </c>
      <c r="I136" s="0" t="s">
        <v>1270</v>
      </c>
      <c r="J136" s="0" t="s">
        <v>874</v>
      </c>
    </row>
    <row r="137" customFormat="false" ht="15" hidden="false" customHeight="false" outlineLevel="0" collapsed="false">
      <c r="A137" s="0" t="s">
        <v>1132</v>
      </c>
      <c r="B137" s="0" t="n">
        <v>1179</v>
      </c>
      <c r="C137" s="0" t="s">
        <v>308</v>
      </c>
      <c r="E137" s="0" t="n">
        <v>1697</v>
      </c>
      <c r="F137" s="0" t="s">
        <v>1268</v>
      </c>
      <c r="G137" s="0" t="s">
        <v>1269</v>
      </c>
      <c r="H137" s="0" t="s">
        <v>427</v>
      </c>
      <c r="I137" s="0" t="s">
        <v>1270</v>
      </c>
      <c r="J137" s="0" t="s">
        <v>874</v>
      </c>
    </row>
    <row r="138" customFormat="false" ht="15" hidden="false" customHeight="false" outlineLevel="0" collapsed="false">
      <c r="A138" s="0" t="s">
        <v>1132</v>
      </c>
      <c r="B138" s="0" t="n">
        <v>2596</v>
      </c>
      <c r="C138" s="0" t="s">
        <v>363</v>
      </c>
      <c r="E138" s="0" t="n">
        <v>1697</v>
      </c>
      <c r="F138" s="0" t="s">
        <v>1268</v>
      </c>
      <c r="G138" s="0" t="s">
        <v>1269</v>
      </c>
      <c r="H138" s="0" t="s">
        <v>427</v>
      </c>
      <c r="I138" s="0" t="s">
        <v>1270</v>
      </c>
      <c r="J138" s="0" t="s">
        <v>874</v>
      </c>
    </row>
    <row r="139" customFormat="false" ht="15" hidden="false" customHeight="false" outlineLevel="0" collapsed="false">
      <c r="A139" s="0" t="s">
        <v>1132</v>
      </c>
      <c r="B139" s="0" t="n">
        <v>4470</v>
      </c>
      <c r="C139" s="0" t="s">
        <v>292</v>
      </c>
      <c r="E139" s="0" t="n">
        <v>1691</v>
      </c>
      <c r="F139" s="0" t="s">
        <v>1271</v>
      </c>
      <c r="G139" s="0" t="s">
        <v>1140</v>
      </c>
      <c r="H139" s="0" t="s">
        <v>427</v>
      </c>
      <c r="I139" s="0" t="s">
        <v>1272</v>
      </c>
      <c r="J139" s="0" t="s">
        <v>874</v>
      </c>
    </row>
    <row r="140" customFormat="false" ht="15" hidden="false" customHeight="false" outlineLevel="0" collapsed="false">
      <c r="A140" s="0" t="s">
        <v>1132</v>
      </c>
      <c r="B140" s="0" t="n">
        <v>159</v>
      </c>
      <c r="C140" s="0" t="s">
        <v>293</v>
      </c>
      <c r="E140" s="0" t="n">
        <v>1691</v>
      </c>
      <c r="F140" s="0" t="s">
        <v>1271</v>
      </c>
      <c r="G140" s="0" t="s">
        <v>1140</v>
      </c>
      <c r="H140" s="0" t="s">
        <v>427</v>
      </c>
      <c r="I140" s="0" t="s">
        <v>1272</v>
      </c>
      <c r="J140" s="0" t="s">
        <v>874</v>
      </c>
    </row>
    <row r="141" customFormat="false" ht="15" hidden="false" customHeight="false" outlineLevel="0" collapsed="false">
      <c r="A141" s="0" t="s">
        <v>1132</v>
      </c>
      <c r="B141" s="0" t="n">
        <v>159</v>
      </c>
      <c r="C141" s="0" t="s">
        <v>293</v>
      </c>
      <c r="E141" s="0" t="n">
        <v>3158</v>
      </c>
      <c r="F141" s="0" t="s">
        <v>1273</v>
      </c>
      <c r="G141" s="0" t="s">
        <v>1140</v>
      </c>
      <c r="H141" s="0" t="s">
        <v>422</v>
      </c>
      <c r="I141" s="0" t="s">
        <v>1274</v>
      </c>
      <c r="J141" s="0" t="s">
        <v>652</v>
      </c>
    </row>
    <row r="142" customFormat="false" ht="15" hidden="false" customHeight="false" outlineLevel="0" collapsed="false">
      <c r="A142" s="0" t="s">
        <v>1132</v>
      </c>
      <c r="B142" s="0" t="n">
        <v>2678</v>
      </c>
      <c r="C142" s="0" t="s">
        <v>271</v>
      </c>
      <c r="E142" s="0" t="n">
        <v>3168</v>
      </c>
      <c r="F142" s="0" t="s">
        <v>1275</v>
      </c>
      <c r="G142" s="0" t="s">
        <v>1137</v>
      </c>
      <c r="H142" s="0" t="s">
        <v>422</v>
      </c>
      <c r="I142" s="0" t="s">
        <v>1276</v>
      </c>
      <c r="J142" s="0" t="s">
        <v>652</v>
      </c>
    </row>
    <row r="143" customFormat="false" ht="15" hidden="false" customHeight="false" outlineLevel="0" collapsed="false">
      <c r="A143" s="0" t="s">
        <v>1132</v>
      </c>
      <c r="B143" s="0" t="n">
        <v>159</v>
      </c>
      <c r="C143" s="0" t="s">
        <v>293</v>
      </c>
      <c r="E143" s="0" t="n">
        <v>3881</v>
      </c>
      <c r="F143" s="0" t="s">
        <v>754</v>
      </c>
      <c r="G143" s="0" t="s">
        <v>1277</v>
      </c>
      <c r="H143" s="0" t="s">
        <v>422</v>
      </c>
      <c r="I143" s="0" t="s">
        <v>1278</v>
      </c>
      <c r="J143" s="0" t="s">
        <v>652</v>
      </c>
    </row>
    <row r="144" customFormat="false" ht="15" hidden="false" customHeight="false" outlineLevel="0" collapsed="false">
      <c r="A144" s="0" t="s">
        <v>1132</v>
      </c>
      <c r="B144" s="0" t="n">
        <v>1179</v>
      </c>
      <c r="C144" s="0" t="s">
        <v>308</v>
      </c>
      <c r="E144" s="0" t="n">
        <v>3881</v>
      </c>
      <c r="F144" s="0" t="s">
        <v>754</v>
      </c>
      <c r="G144" s="0" t="s">
        <v>1277</v>
      </c>
      <c r="H144" s="0" t="s">
        <v>422</v>
      </c>
      <c r="I144" s="0" t="s">
        <v>1278</v>
      </c>
      <c r="J144" s="0" t="s">
        <v>652</v>
      </c>
    </row>
    <row r="145" customFormat="false" ht="15" hidden="false" customHeight="false" outlineLevel="0" collapsed="false">
      <c r="A145" s="0" t="s">
        <v>1132</v>
      </c>
      <c r="B145" s="0" t="n">
        <v>159</v>
      </c>
      <c r="C145" s="0" t="s">
        <v>293</v>
      </c>
      <c r="E145" s="0" t="n">
        <v>6928</v>
      </c>
      <c r="F145" s="0" t="s">
        <v>1279</v>
      </c>
      <c r="G145" s="0" t="s">
        <v>1134</v>
      </c>
      <c r="H145" s="0" t="s">
        <v>422</v>
      </c>
      <c r="I145" s="0" t="s">
        <v>1280</v>
      </c>
      <c r="J145" s="0" t="s">
        <v>652</v>
      </c>
    </row>
    <row r="146" customFormat="false" ht="15" hidden="false" customHeight="false" outlineLevel="0" collapsed="false">
      <c r="A146" s="0" t="s">
        <v>1132</v>
      </c>
      <c r="B146" s="0" t="n">
        <v>1179</v>
      </c>
      <c r="C146" s="0" t="s">
        <v>308</v>
      </c>
      <c r="E146" s="0" t="n">
        <v>6928</v>
      </c>
      <c r="F146" s="0" t="s">
        <v>1279</v>
      </c>
      <c r="G146" s="0" t="s">
        <v>1134</v>
      </c>
      <c r="H146" s="0" t="s">
        <v>422</v>
      </c>
      <c r="I146" s="0" t="s">
        <v>1280</v>
      </c>
      <c r="J146" s="0" t="s">
        <v>652</v>
      </c>
    </row>
    <row r="147" customFormat="false" ht="15" hidden="false" customHeight="false" outlineLevel="0" collapsed="false">
      <c r="A147" s="0" t="s">
        <v>1132</v>
      </c>
      <c r="B147" s="0" t="n">
        <v>4470</v>
      </c>
      <c r="C147" s="0" t="s">
        <v>292</v>
      </c>
      <c r="E147" s="0" t="n">
        <v>3164</v>
      </c>
      <c r="F147" s="0" t="s">
        <v>1281</v>
      </c>
      <c r="G147" s="0" t="s">
        <v>1140</v>
      </c>
      <c r="H147" s="0" t="s">
        <v>422</v>
      </c>
      <c r="I147" s="0" t="s">
        <v>1282</v>
      </c>
      <c r="J147" s="0" t="s">
        <v>652</v>
      </c>
    </row>
    <row r="148" customFormat="false" ht="15" hidden="false" customHeight="false" outlineLevel="0" collapsed="false">
      <c r="A148" s="0" t="s">
        <v>1132</v>
      </c>
      <c r="B148" s="0" t="n">
        <v>159</v>
      </c>
      <c r="C148" s="0" t="s">
        <v>293</v>
      </c>
      <c r="E148" s="0" t="n">
        <v>3164</v>
      </c>
      <c r="F148" s="0" t="s">
        <v>1281</v>
      </c>
      <c r="G148" s="0" t="s">
        <v>1140</v>
      </c>
      <c r="H148" s="0" t="s">
        <v>422</v>
      </c>
      <c r="I148" s="0" t="s">
        <v>1282</v>
      </c>
      <c r="J148" s="0" t="s">
        <v>652</v>
      </c>
    </row>
    <row r="149" customFormat="false" ht="15" hidden="false" customHeight="false" outlineLevel="0" collapsed="false">
      <c r="A149" s="0" t="s">
        <v>1132</v>
      </c>
      <c r="B149" s="0" t="n">
        <v>4470</v>
      </c>
      <c r="C149" s="0" t="s">
        <v>292</v>
      </c>
      <c r="E149" s="0" t="n">
        <v>3186</v>
      </c>
      <c r="F149" s="0" t="s">
        <v>1283</v>
      </c>
      <c r="G149" s="0" t="s">
        <v>1140</v>
      </c>
      <c r="H149" s="0" t="s">
        <v>422</v>
      </c>
      <c r="I149" s="0" t="s">
        <v>1284</v>
      </c>
      <c r="J149" s="0" t="s">
        <v>652</v>
      </c>
    </row>
    <row r="150" customFormat="false" ht="15" hidden="false" customHeight="false" outlineLevel="0" collapsed="false">
      <c r="A150" s="0" t="s">
        <v>1132</v>
      </c>
      <c r="B150" s="0" t="n">
        <v>159</v>
      </c>
      <c r="C150" s="0" t="s">
        <v>293</v>
      </c>
      <c r="E150" s="0" t="n">
        <v>3186</v>
      </c>
      <c r="F150" s="0" t="s">
        <v>1283</v>
      </c>
      <c r="G150" s="0" t="s">
        <v>1140</v>
      </c>
      <c r="H150" s="0" t="s">
        <v>422</v>
      </c>
      <c r="I150" s="0" t="s">
        <v>1284</v>
      </c>
      <c r="J150" s="0" t="s">
        <v>652</v>
      </c>
    </row>
    <row r="151" customFormat="false" ht="15" hidden="false" customHeight="false" outlineLevel="0" collapsed="false">
      <c r="A151" s="0" t="s">
        <v>1132</v>
      </c>
      <c r="B151" s="0" t="n">
        <v>2678</v>
      </c>
      <c r="C151" s="0" t="s">
        <v>271</v>
      </c>
      <c r="E151" s="0" t="n">
        <v>3187</v>
      </c>
      <c r="F151" s="0" t="s">
        <v>1285</v>
      </c>
      <c r="G151" s="0" t="s">
        <v>1137</v>
      </c>
      <c r="H151" s="0" t="s">
        <v>422</v>
      </c>
      <c r="I151" s="0" t="s">
        <v>1286</v>
      </c>
      <c r="J151" s="0" t="s">
        <v>652</v>
      </c>
    </row>
    <row r="152" customFormat="false" ht="15" hidden="false" customHeight="false" outlineLevel="0" collapsed="false">
      <c r="A152" s="0" t="s">
        <v>1132</v>
      </c>
      <c r="B152" s="0" t="n">
        <v>159</v>
      </c>
      <c r="C152" s="0" t="s">
        <v>293</v>
      </c>
      <c r="E152" s="0" t="n">
        <v>3882</v>
      </c>
      <c r="F152" s="0" t="s">
        <v>1287</v>
      </c>
      <c r="G152" s="0" t="s">
        <v>1277</v>
      </c>
      <c r="H152" s="0" t="s">
        <v>422</v>
      </c>
      <c r="I152" s="0" t="s">
        <v>1288</v>
      </c>
      <c r="J152" s="0" t="s">
        <v>652</v>
      </c>
    </row>
    <row r="153" customFormat="false" ht="15" hidden="false" customHeight="false" outlineLevel="0" collapsed="false">
      <c r="A153" s="0" t="s">
        <v>1132</v>
      </c>
      <c r="B153" s="0" t="n">
        <v>1179</v>
      </c>
      <c r="C153" s="0" t="s">
        <v>308</v>
      </c>
      <c r="E153" s="0" t="n">
        <v>3882</v>
      </c>
      <c r="F153" s="0" t="s">
        <v>1287</v>
      </c>
      <c r="G153" s="0" t="s">
        <v>1277</v>
      </c>
      <c r="H153" s="0" t="s">
        <v>422</v>
      </c>
      <c r="I153" s="0" t="s">
        <v>1288</v>
      </c>
      <c r="J153" s="0" t="s">
        <v>652</v>
      </c>
    </row>
    <row r="154" customFormat="false" ht="15" hidden="false" customHeight="false" outlineLevel="0" collapsed="false">
      <c r="A154" s="0" t="s">
        <v>1132</v>
      </c>
      <c r="B154" s="0" t="n">
        <v>159</v>
      </c>
      <c r="C154" s="0" t="s">
        <v>293</v>
      </c>
      <c r="E154" s="0" t="n">
        <v>11103</v>
      </c>
      <c r="F154" s="0" t="s">
        <v>1289</v>
      </c>
      <c r="G154" s="0" t="s">
        <v>1134</v>
      </c>
      <c r="H154" s="0" t="s">
        <v>822</v>
      </c>
      <c r="I154" s="0" t="s">
        <v>1290</v>
      </c>
      <c r="J154" s="0" t="s">
        <v>874</v>
      </c>
    </row>
    <row r="155" customFormat="false" ht="15" hidden="false" customHeight="false" outlineLevel="0" collapsed="false">
      <c r="A155" s="0" t="s">
        <v>1132</v>
      </c>
      <c r="B155" s="0" t="n">
        <v>1179</v>
      </c>
      <c r="C155" s="0" t="s">
        <v>308</v>
      </c>
      <c r="E155" s="0" t="n">
        <v>11103</v>
      </c>
      <c r="F155" s="0" t="s">
        <v>1289</v>
      </c>
      <c r="G155" s="0" t="s">
        <v>1134</v>
      </c>
      <c r="H155" s="0" t="s">
        <v>822</v>
      </c>
      <c r="I155" s="0" t="s">
        <v>1290</v>
      </c>
      <c r="J155" s="0" t="s">
        <v>874</v>
      </c>
    </row>
    <row r="156" customFormat="false" ht="15" hidden="false" customHeight="false" outlineLevel="0" collapsed="false">
      <c r="A156" s="0" t="s">
        <v>1132</v>
      </c>
      <c r="B156" s="0" t="n">
        <v>159</v>
      </c>
      <c r="C156" s="0" t="s">
        <v>293</v>
      </c>
      <c r="E156" s="0" t="n">
        <v>11106</v>
      </c>
      <c r="F156" s="0" t="s">
        <v>1291</v>
      </c>
      <c r="G156" s="0" t="s">
        <v>1134</v>
      </c>
      <c r="H156" s="0" t="s">
        <v>822</v>
      </c>
      <c r="I156" s="0" t="s">
        <v>1292</v>
      </c>
      <c r="J156" s="0" t="s">
        <v>652</v>
      </c>
    </row>
    <row r="157" customFormat="false" ht="15" hidden="false" customHeight="false" outlineLevel="0" collapsed="false">
      <c r="A157" s="0" t="s">
        <v>1132</v>
      </c>
      <c r="B157" s="0" t="n">
        <v>1179</v>
      </c>
      <c r="C157" s="0" t="s">
        <v>308</v>
      </c>
      <c r="E157" s="0" t="n">
        <v>11106</v>
      </c>
      <c r="F157" s="0" t="s">
        <v>1291</v>
      </c>
      <c r="G157" s="0" t="s">
        <v>1134</v>
      </c>
      <c r="H157" s="0" t="s">
        <v>822</v>
      </c>
      <c r="I157" s="0" t="s">
        <v>1292</v>
      </c>
      <c r="J157" s="0" t="s">
        <v>652</v>
      </c>
    </row>
    <row r="158" customFormat="false" ht="15" hidden="false" customHeight="false" outlineLevel="0" collapsed="false">
      <c r="A158" s="0" t="s">
        <v>1132</v>
      </c>
      <c r="B158" s="0" t="n">
        <v>4470</v>
      </c>
      <c r="C158" s="0" t="s">
        <v>292</v>
      </c>
      <c r="E158" s="0" t="n">
        <v>12960</v>
      </c>
      <c r="F158" s="0" t="s">
        <v>1293</v>
      </c>
      <c r="G158" s="0" t="s">
        <v>1140</v>
      </c>
      <c r="H158" s="0" t="s">
        <v>822</v>
      </c>
      <c r="I158" s="0" t="s">
        <v>1294</v>
      </c>
      <c r="J158" s="0" t="s">
        <v>874</v>
      </c>
    </row>
    <row r="159" customFormat="false" ht="15" hidden="false" customHeight="false" outlineLevel="0" collapsed="false">
      <c r="A159" s="0" t="s">
        <v>1132</v>
      </c>
      <c r="B159" s="0" t="n">
        <v>159</v>
      </c>
      <c r="C159" s="0" t="s">
        <v>293</v>
      </c>
      <c r="E159" s="0" t="n">
        <v>12960</v>
      </c>
      <c r="F159" s="0" t="s">
        <v>1293</v>
      </c>
      <c r="G159" s="0" t="s">
        <v>1140</v>
      </c>
      <c r="H159" s="0" t="s">
        <v>822</v>
      </c>
      <c r="I159" s="0" t="s">
        <v>1294</v>
      </c>
      <c r="J159" s="0" t="s">
        <v>874</v>
      </c>
    </row>
    <row r="160" customFormat="false" ht="15" hidden="false" customHeight="false" outlineLevel="0" collapsed="false">
      <c r="A160" s="0" t="s">
        <v>1132</v>
      </c>
      <c r="B160" s="0" t="n">
        <v>1179</v>
      </c>
      <c r="C160" s="0" t="s">
        <v>308</v>
      </c>
      <c r="E160" s="0" t="n">
        <v>12960</v>
      </c>
      <c r="F160" s="0" t="s">
        <v>1293</v>
      </c>
      <c r="G160" s="0" t="s">
        <v>1140</v>
      </c>
      <c r="H160" s="0" t="s">
        <v>822</v>
      </c>
      <c r="I160" s="0" t="s">
        <v>1294</v>
      </c>
      <c r="J160" s="0" t="s">
        <v>874</v>
      </c>
    </row>
    <row r="161" customFormat="false" ht="15" hidden="false" customHeight="false" outlineLevel="0" collapsed="false">
      <c r="A161" s="0" t="s">
        <v>1132</v>
      </c>
      <c r="B161" s="0" t="n">
        <v>159</v>
      </c>
      <c r="C161" s="0" t="s">
        <v>293</v>
      </c>
      <c r="E161" s="0" t="n">
        <v>8152</v>
      </c>
      <c r="F161" s="0" t="s">
        <v>1295</v>
      </c>
      <c r="G161" s="0" t="s">
        <v>1155</v>
      </c>
      <c r="H161" s="0" t="s">
        <v>822</v>
      </c>
      <c r="I161" s="0" t="s">
        <v>1296</v>
      </c>
      <c r="J161" s="0" t="s">
        <v>652</v>
      </c>
    </row>
    <row r="162" customFormat="false" ht="15" hidden="false" customHeight="false" outlineLevel="0" collapsed="false">
      <c r="A162" s="0" t="s">
        <v>1132</v>
      </c>
      <c r="B162" s="0" t="n">
        <v>1179</v>
      </c>
      <c r="C162" s="0" t="s">
        <v>308</v>
      </c>
      <c r="E162" s="0" t="n">
        <v>8152</v>
      </c>
      <c r="F162" s="0" t="s">
        <v>1295</v>
      </c>
      <c r="G162" s="0" t="s">
        <v>1155</v>
      </c>
      <c r="H162" s="0" t="s">
        <v>822</v>
      </c>
      <c r="I162" s="0" t="s">
        <v>1296</v>
      </c>
      <c r="J162" s="0" t="s">
        <v>652</v>
      </c>
    </row>
    <row r="163" customFormat="false" ht="15" hidden="false" customHeight="false" outlineLevel="0" collapsed="false">
      <c r="A163" s="0" t="s">
        <v>1132</v>
      </c>
      <c r="B163" s="0" t="n">
        <v>159</v>
      </c>
      <c r="C163" s="0" t="s">
        <v>293</v>
      </c>
      <c r="E163" s="0" t="n">
        <v>8150</v>
      </c>
      <c r="F163" s="0" t="s">
        <v>1297</v>
      </c>
      <c r="G163" s="0" t="s">
        <v>1155</v>
      </c>
      <c r="H163" s="0" t="s">
        <v>822</v>
      </c>
      <c r="I163" s="0" t="s">
        <v>1298</v>
      </c>
      <c r="J163" s="0" t="s">
        <v>874</v>
      </c>
    </row>
    <row r="164" customFormat="false" ht="15" hidden="false" customHeight="false" outlineLevel="0" collapsed="false">
      <c r="A164" s="0" t="s">
        <v>1132</v>
      </c>
      <c r="B164" s="0" t="n">
        <v>1179</v>
      </c>
      <c r="C164" s="0" t="s">
        <v>308</v>
      </c>
      <c r="E164" s="0" t="n">
        <v>8150</v>
      </c>
      <c r="F164" s="0" t="s">
        <v>1297</v>
      </c>
      <c r="G164" s="0" t="s">
        <v>1155</v>
      </c>
      <c r="H164" s="0" t="s">
        <v>822</v>
      </c>
      <c r="I164" s="0" t="s">
        <v>1298</v>
      </c>
      <c r="J164" s="0" t="s">
        <v>874</v>
      </c>
    </row>
    <row r="165" customFormat="false" ht="15" hidden="false" customHeight="false" outlineLevel="0" collapsed="false">
      <c r="A165" s="0" t="s">
        <v>1132</v>
      </c>
      <c r="B165" s="0" t="n">
        <v>3713</v>
      </c>
      <c r="C165" s="0" t="s">
        <v>277</v>
      </c>
      <c r="E165" s="0" t="n">
        <v>9636</v>
      </c>
      <c r="F165" s="0" t="s">
        <v>1299</v>
      </c>
      <c r="G165" s="0" t="s">
        <v>1137</v>
      </c>
      <c r="H165" s="0" t="s">
        <v>822</v>
      </c>
      <c r="I165" s="0" t="s">
        <v>1300</v>
      </c>
      <c r="J165" s="0" t="s">
        <v>652</v>
      </c>
    </row>
    <row r="166" customFormat="false" ht="15" hidden="false" customHeight="false" outlineLevel="0" collapsed="false">
      <c r="A166" s="0" t="s">
        <v>1132</v>
      </c>
      <c r="B166" s="0" t="n">
        <v>2678</v>
      </c>
      <c r="C166" s="0" t="s">
        <v>271</v>
      </c>
      <c r="E166" s="0" t="n">
        <v>9636</v>
      </c>
      <c r="F166" s="0" t="s">
        <v>1299</v>
      </c>
      <c r="G166" s="0" t="s">
        <v>1137</v>
      </c>
      <c r="H166" s="0" t="s">
        <v>822</v>
      </c>
      <c r="I166" s="0" t="s">
        <v>1300</v>
      </c>
      <c r="J166" s="0" t="s">
        <v>652</v>
      </c>
    </row>
    <row r="167" customFormat="false" ht="15" hidden="false" customHeight="false" outlineLevel="0" collapsed="false">
      <c r="A167" s="0" t="s">
        <v>1132</v>
      </c>
      <c r="B167" s="0" t="n">
        <v>2692</v>
      </c>
      <c r="C167" s="0" t="s">
        <v>275</v>
      </c>
      <c r="E167" s="0" t="n">
        <v>9636</v>
      </c>
      <c r="F167" s="0" t="s">
        <v>1299</v>
      </c>
      <c r="G167" s="0" t="s">
        <v>1137</v>
      </c>
      <c r="H167" s="0" t="s">
        <v>822</v>
      </c>
      <c r="I167" s="0" t="s">
        <v>1300</v>
      </c>
      <c r="J167" s="0" t="s">
        <v>652</v>
      </c>
    </row>
    <row r="168" customFormat="false" ht="15" hidden="false" customHeight="false" outlineLevel="0" collapsed="false">
      <c r="A168" s="0" t="s">
        <v>1132</v>
      </c>
      <c r="B168" s="0" t="n">
        <v>3713</v>
      </c>
      <c r="C168" s="0" t="s">
        <v>277</v>
      </c>
      <c r="E168" s="0" t="n">
        <v>12028</v>
      </c>
      <c r="F168" s="0" t="s">
        <v>1301</v>
      </c>
      <c r="G168" s="0" t="s">
        <v>1137</v>
      </c>
      <c r="H168" s="0" t="s">
        <v>822</v>
      </c>
      <c r="I168" s="0" t="s">
        <v>1302</v>
      </c>
      <c r="J168" s="0" t="s">
        <v>652</v>
      </c>
    </row>
    <row r="169" customFormat="false" ht="15" hidden="false" customHeight="false" outlineLevel="0" collapsed="false">
      <c r="A169" s="0" t="s">
        <v>1132</v>
      </c>
      <c r="B169" s="0" t="n">
        <v>2678</v>
      </c>
      <c r="C169" s="0" t="s">
        <v>271</v>
      </c>
      <c r="E169" s="0" t="n">
        <v>12028</v>
      </c>
      <c r="F169" s="0" t="s">
        <v>1301</v>
      </c>
      <c r="G169" s="0" t="s">
        <v>1137</v>
      </c>
      <c r="H169" s="0" t="s">
        <v>822</v>
      </c>
      <c r="I169" s="0" t="s">
        <v>1302</v>
      </c>
      <c r="J169" s="0" t="s">
        <v>652</v>
      </c>
    </row>
    <row r="170" customFormat="false" ht="15" hidden="false" customHeight="false" outlineLevel="0" collapsed="false">
      <c r="A170" s="0" t="s">
        <v>1132</v>
      </c>
      <c r="B170" s="0" t="n">
        <v>2692</v>
      </c>
      <c r="C170" s="0" t="s">
        <v>275</v>
      </c>
      <c r="E170" s="0" t="n">
        <v>12028</v>
      </c>
      <c r="F170" s="0" t="s">
        <v>1301</v>
      </c>
      <c r="G170" s="0" t="s">
        <v>1137</v>
      </c>
      <c r="H170" s="0" t="s">
        <v>822</v>
      </c>
      <c r="I170" s="0" t="s">
        <v>1302</v>
      </c>
      <c r="J170" s="0" t="s">
        <v>652</v>
      </c>
    </row>
    <row r="171" customFormat="false" ht="15" hidden="false" customHeight="false" outlineLevel="0" collapsed="false">
      <c r="A171" s="0" t="s">
        <v>1132</v>
      </c>
      <c r="B171" s="0" t="n">
        <v>4470</v>
      </c>
      <c r="C171" s="0" t="s">
        <v>292</v>
      </c>
      <c r="E171" s="0" t="n">
        <v>12027</v>
      </c>
      <c r="F171" s="0" t="s">
        <v>1303</v>
      </c>
      <c r="G171" s="0" t="s">
        <v>1178</v>
      </c>
      <c r="H171" s="0" t="s">
        <v>822</v>
      </c>
      <c r="I171" s="0" t="s">
        <v>1304</v>
      </c>
      <c r="J171" s="0" t="s">
        <v>652</v>
      </c>
    </row>
    <row r="172" customFormat="false" ht="15" hidden="false" customHeight="false" outlineLevel="0" collapsed="false">
      <c r="A172" s="0" t="s">
        <v>1132</v>
      </c>
      <c r="B172" s="0" t="n">
        <v>159</v>
      </c>
      <c r="C172" s="0" t="s">
        <v>293</v>
      </c>
      <c r="E172" s="0" t="n">
        <v>12027</v>
      </c>
      <c r="F172" s="0" t="s">
        <v>1303</v>
      </c>
      <c r="G172" s="0" t="s">
        <v>1178</v>
      </c>
      <c r="H172" s="0" t="s">
        <v>822</v>
      </c>
      <c r="I172" s="0" t="s">
        <v>1304</v>
      </c>
      <c r="J172" s="0" t="s">
        <v>652</v>
      </c>
    </row>
    <row r="173" customFormat="false" ht="15" hidden="false" customHeight="false" outlineLevel="0" collapsed="false">
      <c r="A173" s="0" t="s">
        <v>1132</v>
      </c>
      <c r="B173" s="0" t="n">
        <v>1179</v>
      </c>
      <c r="C173" s="0" t="s">
        <v>308</v>
      </c>
      <c r="E173" s="0" t="n">
        <v>12027</v>
      </c>
      <c r="F173" s="0" t="s">
        <v>1303</v>
      </c>
      <c r="G173" s="0" t="s">
        <v>1178</v>
      </c>
      <c r="H173" s="0" t="s">
        <v>822</v>
      </c>
      <c r="I173" s="0" t="s">
        <v>1304</v>
      </c>
      <c r="J173" s="0" t="s">
        <v>652</v>
      </c>
    </row>
    <row r="174" customFormat="false" ht="15" hidden="false" customHeight="false" outlineLevel="0" collapsed="false">
      <c r="A174" s="0" t="s">
        <v>1132</v>
      </c>
      <c r="B174" s="0" t="n">
        <v>159</v>
      </c>
      <c r="C174" s="0" t="s">
        <v>293</v>
      </c>
      <c r="E174" s="0" t="n">
        <v>12033</v>
      </c>
      <c r="F174" s="0" t="s">
        <v>736</v>
      </c>
      <c r="G174" s="0" t="s">
        <v>1193</v>
      </c>
      <c r="H174" s="0" t="s">
        <v>822</v>
      </c>
      <c r="I174" s="0" t="s">
        <v>1305</v>
      </c>
      <c r="J174" s="0" t="s">
        <v>652</v>
      </c>
    </row>
    <row r="175" customFormat="false" ht="15" hidden="false" customHeight="false" outlineLevel="0" collapsed="false">
      <c r="A175" s="0" t="s">
        <v>1132</v>
      </c>
      <c r="B175" s="0" t="n">
        <v>3713</v>
      </c>
      <c r="C175" s="0" t="s">
        <v>277</v>
      </c>
      <c r="E175" s="0" t="n">
        <v>12033</v>
      </c>
      <c r="F175" s="0" t="s">
        <v>736</v>
      </c>
      <c r="G175" s="0" t="s">
        <v>1193</v>
      </c>
      <c r="H175" s="0" t="s">
        <v>822</v>
      </c>
      <c r="I175" s="0" t="s">
        <v>1305</v>
      </c>
      <c r="J175" s="0" t="s">
        <v>652</v>
      </c>
    </row>
    <row r="176" customFormat="false" ht="15" hidden="false" customHeight="false" outlineLevel="0" collapsed="false">
      <c r="A176" s="0" t="s">
        <v>1132</v>
      </c>
      <c r="B176" s="0" t="n">
        <v>2678</v>
      </c>
      <c r="C176" s="0" t="s">
        <v>271</v>
      </c>
      <c r="E176" s="0" t="n">
        <v>12033</v>
      </c>
      <c r="F176" s="0" t="s">
        <v>736</v>
      </c>
      <c r="G176" s="0" t="s">
        <v>1193</v>
      </c>
      <c r="H176" s="0" t="s">
        <v>822</v>
      </c>
      <c r="I176" s="0" t="s">
        <v>1305</v>
      </c>
      <c r="J176" s="0" t="s">
        <v>652</v>
      </c>
    </row>
    <row r="177" customFormat="false" ht="15" hidden="false" customHeight="false" outlineLevel="0" collapsed="false">
      <c r="A177" s="0" t="s">
        <v>1132</v>
      </c>
      <c r="B177" s="0" t="n">
        <v>2692</v>
      </c>
      <c r="C177" s="0" t="s">
        <v>275</v>
      </c>
      <c r="E177" s="0" t="n">
        <v>12033</v>
      </c>
      <c r="F177" s="0" t="s">
        <v>736</v>
      </c>
      <c r="G177" s="0" t="s">
        <v>1193</v>
      </c>
      <c r="H177" s="0" t="s">
        <v>822</v>
      </c>
      <c r="I177" s="0" t="s">
        <v>1305</v>
      </c>
      <c r="J177" s="0" t="s">
        <v>652</v>
      </c>
    </row>
    <row r="178" customFormat="false" ht="15" hidden="false" customHeight="false" outlineLevel="0" collapsed="false">
      <c r="A178" s="0" t="s">
        <v>1132</v>
      </c>
      <c r="B178" s="0" t="n">
        <v>159</v>
      </c>
      <c r="C178" s="0" t="s">
        <v>293</v>
      </c>
      <c r="E178" s="0" t="n">
        <v>295</v>
      </c>
      <c r="F178" s="0" t="s">
        <v>1306</v>
      </c>
      <c r="G178" s="0" t="s">
        <v>1134</v>
      </c>
      <c r="H178" s="0" t="s">
        <v>885</v>
      </c>
      <c r="I178" s="0" t="s">
        <v>1307</v>
      </c>
      <c r="J178" s="0" t="s">
        <v>874</v>
      </c>
    </row>
    <row r="179" customFormat="false" ht="15" hidden="false" customHeight="false" outlineLevel="0" collapsed="false">
      <c r="A179" s="0" t="s">
        <v>1132</v>
      </c>
      <c r="B179" s="0" t="n">
        <v>1179</v>
      </c>
      <c r="C179" s="0" t="s">
        <v>308</v>
      </c>
      <c r="E179" s="0" t="n">
        <v>295</v>
      </c>
      <c r="F179" s="0" t="s">
        <v>1306</v>
      </c>
      <c r="G179" s="0" t="s">
        <v>1134</v>
      </c>
      <c r="H179" s="0" t="s">
        <v>885</v>
      </c>
      <c r="I179" s="0" t="s">
        <v>1307</v>
      </c>
      <c r="J179" s="0" t="s">
        <v>874</v>
      </c>
    </row>
    <row r="180" customFormat="false" ht="15" hidden="false" customHeight="false" outlineLevel="0" collapsed="false">
      <c r="A180" s="0" t="s">
        <v>1132</v>
      </c>
      <c r="B180" s="0" t="n">
        <v>4470</v>
      </c>
      <c r="C180" s="0" t="s">
        <v>292</v>
      </c>
      <c r="E180" s="0" t="n">
        <v>151</v>
      </c>
      <c r="F180" s="0" t="s">
        <v>1308</v>
      </c>
      <c r="G180" s="0" t="s">
        <v>1140</v>
      </c>
      <c r="H180" s="0" t="s">
        <v>885</v>
      </c>
      <c r="I180" s="0" t="s">
        <v>1309</v>
      </c>
      <c r="J180" s="0" t="s">
        <v>874</v>
      </c>
    </row>
    <row r="181" customFormat="false" ht="15" hidden="false" customHeight="false" outlineLevel="0" collapsed="false">
      <c r="A181" s="0" t="s">
        <v>1132</v>
      </c>
      <c r="B181" s="0" t="n">
        <v>159</v>
      </c>
      <c r="C181" s="0" t="s">
        <v>293</v>
      </c>
      <c r="E181" s="0" t="n">
        <v>151</v>
      </c>
      <c r="F181" s="0" t="s">
        <v>1308</v>
      </c>
      <c r="G181" s="0" t="s">
        <v>1140</v>
      </c>
      <c r="H181" s="0" t="s">
        <v>885</v>
      </c>
      <c r="I181" s="0" t="s">
        <v>1309</v>
      </c>
      <c r="J181" s="0" t="s">
        <v>874</v>
      </c>
    </row>
    <row r="182" customFormat="false" ht="15" hidden="false" customHeight="false" outlineLevel="0" collapsed="false">
      <c r="A182" s="0" t="s">
        <v>1132</v>
      </c>
      <c r="B182" s="0" t="n">
        <v>159</v>
      </c>
      <c r="C182" s="0" t="s">
        <v>293</v>
      </c>
      <c r="E182" s="0" t="n">
        <v>465</v>
      </c>
      <c r="F182" s="0" t="s">
        <v>1310</v>
      </c>
      <c r="G182" s="0" t="s">
        <v>1175</v>
      </c>
      <c r="H182" s="0" t="s">
        <v>885</v>
      </c>
      <c r="I182" s="0" t="s">
        <v>1311</v>
      </c>
      <c r="J182" s="0" t="s">
        <v>874</v>
      </c>
    </row>
    <row r="183" customFormat="false" ht="15" hidden="false" customHeight="false" outlineLevel="0" collapsed="false">
      <c r="A183" s="0" t="s">
        <v>1132</v>
      </c>
      <c r="B183" s="0" t="n">
        <v>1179</v>
      </c>
      <c r="C183" s="0" t="s">
        <v>308</v>
      </c>
      <c r="E183" s="0" t="n">
        <v>465</v>
      </c>
      <c r="F183" s="0" t="s">
        <v>1310</v>
      </c>
      <c r="G183" s="0" t="s">
        <v>1175</v>
      </c>
      <c r="H183" s="0" t="s">
        <v>885</v>
      </c>
      <c r="I183" s="0" t="s">
        <v>1311</v>
      </c>
      <c r="J183" s="0" t="s">
        <v>874</v>
      </c>
    </row>
    <row r="184" customFormat="false" ht="15" hidden="false" customHeight="false" outlineLevel="0" collapsed="false">
      <c r="A184" s="0" t="s">
        <v>1132</v>
      </c>
      <c r="B184" s="0" t="n">
        <v>2596</v>
      </c>
      <c r="C184" s="0" t="s">
        <v>363</v>
      </c>
      <c r="E184" s="0" t="n">
        <v>465</v>
      </c>
      <c r="F184" s="0" t="s">
        <v>1310</v>
      </c>
      <c r="G184" s="0" t="s">
        <v>1175</v>
      </c>
      <c r="H184" s="0" t="s">
        <v>885</v>
      </c>
      <c r="I184" s="0" t="s">
        <v>1311</v>
      </c>
      <c r="J184" s="0" t="s">
        <v>874</v>
      </c>
    </row>
    <row r="185" customFormat="false" ht="15" hidden="false" customHeight="false" outlineLevel="0" collapsed="false">
      <c r="A185" s="0" t="s">
        <v>1132</v>
      </c>
      <c r="B185" s="0" t="n">
        <v>4470</v>
      </c>
      <c r="C185" s="0" t="s">
        <v>292</v>
      </c>
      <c r="E185" s="0" t="n">
        <v>1250</v>
      </c>
      <c r="F185" s="0" t="s">
        <v>1312</v>
      </c>
      <c r="G185" s="0" t="s">
        <v>1140</v>
      </c>
      <c r="H185" s="0" t="s">
        <v>885</v>
      </c>
      <c r="I185" s="0" t="s">
        <v>1313</v>
      </c>
      <c r="J185" s="0" t="s">
        <v>874</v>
      </c>
    </row>
    <row r="186" customFormat="false" ht="15" hidden="false" customHeight="false" outlineLevel="0" collapsed="false">
      <c r="A186" s="0" t="s">
        <v>1132</v>
      </c>
      <c r="B186" s="0" t="n">
        <v>159</v>
      </c>
      <c r="C186" s="0" t="s">
        <v>293</v>
      </c>
      <c r="E186" s="0" t="n">
        <v>1250</v>
      </c>
      <c r="F186" s="0" t="s">
        <v>1312</v>
      </c>
      <c r="G186" s="0" t="s">
        <v>1140</v>
      </c>
      <c r="H186" s="0" t="s">
        <v>885</v>
      </c>
      <c r="I186" s="0" t="s">
        <v>1313</v>
      </c>
      <c r="J186" s="0" t="s">
        <v>874</v>
      </c>
    </row>
    <row r="187" customFormat="false" ht="15" hidden="false" customHeight="false" outlineLevel="0" collapsed="false">
      <c r="A187" s="0" t="s">
        <v>1132</v>
      </c>
      <c r="B187" s="0" t="n">
        <v>2678</v>
      </c>
      <c r="C187" s="0" t="s">
        <v>271</v>
      </c>
      <c r="E187" s="0" t="n">
        <v>1250</v>
      </c>
      <c r="F187" s="0" t="s">
        <v>1312</v>
      </c>
      <c r="G187" s="0" t="s">
        <v>1140</v>
      </c>
      <c r="H187" s="0" t="s">
        <v>885</v>
      </c>
      <c r="I187" s="0" t="s">
        <v>1313</v>
      </c>
      <c r="J187" s="0" t="s">
        <v>874</v>
      </c>
    </row>
    <row r="188" customFormat="false" ht="15" hidden="false" customHeight="false" outlineLevel="0" collapsed="false">
      <c r="A188" s="0" t="s">
        <v>1132</v>
      </c>
      <c r="B188" s="0" t="n">
        <v>159</v>
      </c>
      <c r="C188" s="0" t="s">
        <v>293</v>
      </c>
      <c r="E188" s="0" t="n">
        <v>152</v>
      </c>
      <c r="F188" s="0" t="s">
        <v>1314</v>
      </c>
      <c r="G188" s="0" t="s">
        <v>1140</v>
      </c>
      <c r="H188" s="0" t="s">
        <v>885</v>
      </c>
      <c r="I188" s="0" t="s">
        <v>1315</v>
      </c>
      <c r="J188" s="0" t="s">
        <v>874</v>
      </c>
    </row>
    <row r="189" customFormat="false" ht="15" hidden="false" customHeight="false" outlineLevel="0" collapsed="false">
      <c r="A189" s="0" t="s">
        <v>1132</v>
      </c>
      <c r="B189" s="0" t="n">
        <v>4536</v>
      </c>
      <c r="C189" s="0" t="s">
        <v>316</v>
      </c>
      <c r="E189" s="0" t="n">
        <v>894</v>
      </c>
      <c r="F189" s="0" t="s">
        <v>1316</v>
      </c>
      <c r="G189" s="0" t="s">
        <v>1317</v>
      </c>
      <c r="H189" s="0" t="s">
        <v>885</v>
      </c>
      <c r="I189" s="0" t="s">
        <v>1318</v>
      </c>
      <c r="J189" s="0" t="s">
        <v>874</v>
      </c>
    </row>
    <row r="190" customFormat="false" ht="15" hidden="false" customHeight="false" outlineLevel="0" collapsed="false">
      <c r="A190" s="0" t="s">
        <v>1132</v>
      </c>
      <c r="B190" s="0" t="n">
        <v>159</v>
      </c>
      <c r="C190" s="0" t="s">
        <v>293</v>
      </c>
      <c r="E190" s="0" t="n">
        <v>258</v>
      </c>
      <c r="F190" s="0" t="s">
        <v>1319</v>
      </c>
      <c r="G190" s="0" t="s">
        <v>1320</v>
      </c>
      <c r="H190" s="0" t="s">
        <v>885</v>
      </c>
      <c r="I190" s="0" t="s">
        <v>1321</v>
      </c>
      <c r="J190" s="0" t="s">
        <v>874</v>
      </c>
    </row>
    <row r="191" customFormat="false" ht="15" hidden="false" customHeight="false" outlineLevel="0" collapsed="false">
      <c r="A191" s="0" t="s">
        <v>1132</v>
      </c>
      <c r="B191" s="0" t="n">
        <v>1179</v>
      </c>
      <c r="C191" s="0" t="s">
        <v>308</v>
      </c>
      <c r="E191" s="0" t="n">
        <v>258</v>
      </c>
      <c r="F191" s="0" t="s">
        <v>1319</v>
      </c>
      <c r="G191" s="0" t="s">
        <v>1320</v>
      </c>
      <c r="H191" s="0" t="s">
        <v>885</v>
      </c>
      <c r="I191" s="0" t="s">
        <v>1321</v>
      </c>
      <c r="J191" s="0" t="s">
        <v>874</v>
      </c>
    </row>
    <row r="192" customFormat="false" ht="15" hidden="false" customHeight="false" outlineLevel="0" collapsed="false">
      <c r="A192" s="0" t="s">
        <v>1132</v>
      </c>
      <c r="B192" s="0" t="n">
        <v>2596</v>
      </c>
      <c r="C192" s="0" t="s">
        <v>363</v>
      </c>
      <c r="E192" s="0" t="n">
        <v>258</v>
      </c>
      <c r="F192" s="0" t="s">
        <v>1319</v>
      </c>
      <c r="G192" s="0" t="s">
        <v>1320</v>
      </c>
      <c r="H192" s="0" t="s">
        <v>885</v>
      </c>
      <c r="I192" s="0" t="s">
        <v>1321</v>
      </c>
      <c r="J192" s="0" t="s">
        <v>874</v>
      </c>
    </row>
    <row r="193" customFormat="false" ht="15" hidden="false" customHeight="false" outlineLevel="0" collapsed="false">
      <c r="A193" s="0" t="s">
        <v>1132</v>
      </c>
      <c r="B193" s="0" t="n">
        <v>159</v>
      </c>
      <c r="C193" s="0" t="s">
        <v>293</v>
      </c>
      <c r="E193" s="0" t="n">
        <v>3937</v>
      </c>
      <c r="F193" s="0" t="s">
        <v>1322</v>
      </c>
      <c r="G193" s="0" t="s">
        <v>1323</v>
      </c>
      <c r="H193" s="0" t="s">
        <v>885</v>
      </c>
      <c r="I193" s="0" t="s">
        <v>1324</v>
      </c>
      <c r="J193" s="0" t="s">
        <v>874</v>
      </c>
    </row>
    <row r="194" customFormat="false" ht="15" hidden="false" customHeight="false" outlineLevel="0" collapsed="false">
      <c r="A194" s="0" t="s">
        <v>1132</v>
      </c>
      <c r="B194" s="0" t="n">
        <v>1179</v>
      </c>
      <c r="C194" s="0" t="s">
        <v>308</v>
      </c>
      <c r="E194" s="0" t="n">
        <v>3937</v>
      </c>
      <c r="F194" s="0" t="s">
        <v>1322</v>
      </c>
      <c r="G194" s="0" t="s">
        <v>1323</v>
      </c>
      <c r="H194" s="0" t="s">
        <v>885</v>
      </c>
      <c r="I194" s="0" t="s">
        <v>1324</v>
      </c>
      <c r="J194" s="0" t="s">
        <v>874</v>
      </c>
    </row>
    <row r="195" customFormat="false" ht="15" hidden="false" customHeight="false" outlineLevel="0" collapsed="false">
      <c r="A195" s="0" t="s">
        <v>1132</v>
      </c>
      <c r="B195" s="0" t="n">
        <v>159</v>
      </c>
      <c r="C195" s="0" t="s">
        <v>293</v>
      </c>
      <c r="E195" s="0" t="n">
        <v>955</v>
      </c>
      <c r="F195" s="0" t="s">
        <v>1325</v>
      </c>
      <c r="G195" s="0" t="s">
        <v>1326</v>
      </c>
      <c r="H195" s="0" t="s">
        <v>885</v>
      </c>
      <c r="I195" s="0" t="s">
        <v>1327</v>
      </c>
      <c r="J195" s="0" t="s">
        <v>874</v>
      </c>
    </row>
    <row r="196" customFormat="false" ht="15" hidden="false" customHeight="false" outlineLevel="0" collapsed="false">
      <c r="A196" s="0" t="s">
        <v>1132</v>
      </c>
      <c r="B196" s="0" t="n">
        <v>1179</v>
      </c>
      <c r="C196" s="0" t="s">
        <v>308</v>
      </c>
      <c r="E196" s="0" t="n">
        <v>955</v>
      </c>
      <c r="F196" s="0" t="s">
        <v>1325</v>
      </c>
      <c r="G196" s="0" t="s">
        <v>1326</v>
      </c>
      <c r="H196" s="0" t="s">
        <v>885</v>
      </c>
      <c r="I196" s="0" t="s">
        <v>1327</v>
      </c>
      <c r="J196" s="0" t="s">
        <v>874</v>
      </c>
    </row>
    <row r="197" customFormat="false" ht="15" hidden="false" customHeight="false" outlineLevel="0" collapsed="false">
      <c r="A197" s="0" t="s">
        <v>1132</v>
      </c>
      <c r="B197" s="0" t="n">
        <v>2596</v>
      </c>
      <c r="C197" s="0" t="s">
        <v>363</v>
      </c>
      <c r="E197" s="0" t="n">
        <v>955</v>
      </c>
      <c r="F197" s="0" t="s">
        <v>1325</v>
      </c>
      <c r="G197" s="0" t="s">
        <v>1326</v>
      </c>
      <c r="H197" s="0" t="s">
        <v>885</v>
      </c>
      <c r="I197" s="0" t="s">
        <v>1327</v>
      </c>
      <c r="J197" s="0" t="s">
        <v>874</v>
      </c>
    </row>
    <row r="198" customFormat="false" ht="15" hidden="false" customHeight="false" outlineLevel="0" collapsed="false">
      <c r="A198" s="0" t="s">
        <v>1132</v>
      </c>
      <c r="B198" s="0" t="n">
        <v>4470</v>
      </c>
      <c r="C198" s="0" t="s">
        <v>292</v>
      </c>
      <c r="E198" s="0" t="n">
        <v>1650</v>
      </c>
      <c r="F198" s="0" t="s">
        <v>1328</v>
      </c>
      <c r="G198" s="0" t="s">
        <v>1329</v>
      </c>
      <c r="H198" s="0" t="s">
        <v>885</v>
      </c>
      <c r="I198" s="0" t="s">
        <v>1330</v>
      </c>
      <c r="J198" s="0" t="s">
        <v>874</v>
      </c>
    </row>
    <row r="199" customFormat="false" ht="15" hidden="false" customHeight="false" outlineLevel="0" collapsed="false">
      <c r="A199" s="0" t="s">
        <v>1132</v>
      </c>
      <c r="B199" s="0" t="n">
        <v>2678</v>
      </c>
      <c r="C199" s="0" t="s">
        <v>271</v>
      </c>
      <c r="E199" s="0" t="n">
        <v>66</v>
      </c>
      <c r="F199" s="0" t="s">
        <v>1331</v>
      </c>
      <c r="G199" s="0" t="s">
        <v>1137</v>
      </c>
      <c r="H199" s="0" t="s">
        <v>885</v>
      </c>
      <c r="I199" s="0" t="s">
        <v>1332</v>
      </c>
      <c r="J199" s="0" t="s">
        <v>874</v>
      </c>
    </row>
    <row r="200" customFormat="false" ht="15" hidden="false" customHeight="false" outlineLevel="0" collapsed="false">
      <c r="A200" s="0" t="s">
        <v>1132</v>
      </c>
      <c r="B200" s="0" t="n">
        <v>2678</v>
      </c>
      <c r="C200" s="0" t="s">
        <v>271</v>
      </c>
      <c r="E200" s="0" t="n">
        <v>3556</v>
      </c>
      <c r="F200" s="0" t="s">
        <v>576</v>
      </c>
      <c r="G200" s="0" t="s">
        <v>1137</v>
      </c>
      <c r="H200" s="0" t="s">
        <v>577</v>
      </c>
      <c r="I200" s="0" t="s">
        <v>1333</v>
      </c>
      <c r="J200" s="0" t="s">
        <v>652</v>
      </c>
    </row>
    <row r="201" customFormat="false" ht="15" hidden="false" customHeight="false" outlineLevel="0" collapsed="false">
      <c r="A201" s="0" t="s">
        <v>1132</v>
      </c>
      <c r="B201" s="0" t="n">
        <v>2692</v>
      </c>
      <c r="C201" s="0" t="s">
        <v>275</v>
      </c>
      <c r="E201" s="0" t="n">
        <v>3556</v>
      </c>
      <c r="F201" s="0" t="s">
        <v>576</v>
      </c>
      <c r="G201" s="0" t="s">
        <v>1137</v>
      </c>
      <c r="H201" s="0" t="s">
        <v>577</v>
      </c>
      <c r="I201" s="0" t="s">
        <v>1333</v>
      </c>
      <c r="J201" s="0" t="s">
        <v>652</v>
      </c>
    </row>
    <row r="202" customFormat="false" ht="15" hidden="false" customHeight="false" outlineLevel="0" collapsed="false">
      <c r="A202" s="0" t="s">
        <v>1132</v>
      </c>
      <c r="B202" s="0" t="n">
        <v>159</v>
      </c>
      <c r="C202" s="0" t="s">
        <v>293</v>
      </c>
      <c r="E202" s="0" t="n">
        <v>6739</v>
      </c>
      <c r="F202" s="0" t="s">
        <v>1334</v>
      </c>
      <c r="G202" s="0" t="s">
        <v>1134</v>
      </c>
      <c r="H202" s="0" t="s">
        <v>577</v>
      </c>
      <c r="I202" s="0" t="s">
        <v>1335</v>
      </c>
      <c r="J202" s="0" t="s">
        <v>652</v>
      </c>
    </row>
    <row r="203" customFormat="false" ht="15" hidden="false" customHeight="false" outlineLevel="0" collapsed="false">
      <c r="A203" s="0" t="s">
        <v>1132</v>
      </c>
      <c r="B203" s="0" t="n">
        <v>1179</v>
      </c>
      <c r="C203" s="0" t="s">
        <v>308</v>
      </c>
      <c r="E203" s="0" t="n">
        <v>6739</v>
      </c>
      <c r="F203" s="0" t="s">
        <v>1334</v>
      </c>
      <c r="G203" s="0" t="s">
        <v>1134</v>
      </c>
      <c r="H203" s="0" t="s">
        <v>577</v>
      </c>
      <c r="I203" s="0" t="s">
        <v>1335</v>
      </c>
      <c r="J203" s="0" t="s">
        <v>652</v>
      </c>
    </row>
    <row r="204" customFormat="false" ht="15" hidden="false" customHeight="false" outlineLevel="0" collapsed="false">
      <c r="A204" s="0" t="s">
        <v>1132</v>
      </c>
      <c r="B204" s="0" t="n">
        <v>1179</v>
      </c>
      <c r="C204" s="0" t="s">
        <v>308</v>
      </c>
      <c r="E204" s="0" t="n">
        <v>3577</v>
      </c>
      <c r="F204" s="0" t="s">
        <v>1336</v>
      </c>
      <c r="H204" s="0" t="s">
        <v>577</v>
      </c>
      <c r="I204" s="0" t="s">
        <v>1337</v>
      </c>
      <c r="J204" s="0" t="s">
        <v>920</v>
      </c>
    </row>
    <row r="205" customFormat="false" ht="15" hidden="false" customHeight="false" outlineLevel="0" collapsed="false">
      <c r="A205" s="0" t="s">
        <v>1132</v>
      </c>
      <c r="B205" s="0" t="n">
        <v>4470</v>
      </c>
      <c r="C205" s="0" t="s">
        <v>292</v>
      </c>
      <c r="E205" s="0" t="n">
        <v>2140</v>
      </c>
      <c r="F205" s="0" t="s">
        <v>1338</v>
      </c>
      <c r="G205" s="0" t="s">
        <v>1140</v>
      </c>
      <c r="H205" s="0" t="s">
        <v>577</v>
      </c>
      <c r="I205" s="0" t="s">
        <v>1339</v>
      </c>
      <c r="J205" s="0" t="s">
        <v>652</v>
      </c>
    </row>
    <row r="206" customFormat="false" ht="15" hidden="false" customHeight="false" outlineLevel="0" collapsed="false">
      <c r="A206" s="0" t="s">
        <v>1132</v>
      </c>
      <c r="B206" s="0" t="n">
        <v>159</v>
      </c>
      <c r="C206" s="0" t="s">
        <v>293</v>
      </c>
      <c r="E206" s="0" t="n">
        <v>2140</v>
      </c>
      <c r="F206" s="0" t="s">
        <v>1338</v>
      </c>
      <c r="G206" s="0" t="s">
        <v>1140</v>
      </c>
      <c r="H206" s="0" t="s">
        <v>577</v>
      </c>
      <c r="I206" s="0" t="s">
        <v>1339</v>
      </c>
      <c r="J206" s="0" t="s">
        <v>652</v>
      </c>
    </row>
    <row r="207" customFormat="false" ht="15" hidden="false" customHeight="false" outlineLevel="0" collapsed="false">
      <c r="A207" s="0" t="s">
        <v>1132</v>
      </c>
      <c r="B207" s="0" t="n">
        <v>1179</v>
      </c>
      <c r="C207" s="0" t="s">
        <v>308</v>
      </c>
      <c r="E207" s="0" t="n">
        <v>2140</v>
      </c>
      <c r="F207" s="0" t="s">
        <v>1338</v>
      </c>
      <c r="G207" s="0" t="s">
        <v>1140</v>
      </c>
      <c r="H207" s="0" t="s">
        <v>577</v>
      </c>
      <c r="I207" s="0" t="s">
        <v>1339</v>
      </c>
      <c r="J207" s="0" t="s">
        <v>652</v>
      </c>
    </row>
    <row r="208" customFormat="false" ht="15" hidden="false" customHeight="false" outlineLevel="0" collapsed="false">
      <c r="A208" s="0" t="s">
        <v>1132</v>
      </c>
      <c r="B208" s="0" t="n">
        <v>4470</v>
      </c>
      <c r="C208" s="0" t="s">
        <v>292</v>
      </c>
      <c r="E208" s="0" t="n">
        <v>5758</v>
      </c>
      <c r="F208" s="0" t="s">
        <v>1340</v>
      </c>
      <c r="G208" s="0" t="s">
        <v>1202</v>
      </c>
      <c r="H208" s="0" t="s">
        <v>577</v>
      </c>
      <c r="I208" s="0" t="s">
        <v>1341</v>
      </c>
      <c r="J208" s="0" t="s">
        <v>652</v>
      </c>
    </row>
    <row r="209" customFormat="false" ht="15" hidden="false" customHeight="false" outlineLevel="0" collapsed="false">
      <c r="A209" s="0" t="s">
        <v>1132</v>
      </c>
      <c r="B209" s="0" t="n">
        <v>4470</v>
      </c>
      <c r="C209" s="0" t="s">
        <v>292</v>
      </c>
      <c r="E209" s="0" t="n">
        <v>5757</v>
      </c>
      <c r="F209" s="0" t="s">
        <v>1342</v>
      </c>
      <c r="G209" s="0" t="s">
        <v>1202</v>
      </c>
      <c r="H209" s="0" t="s">
        <v>577</v>
      </c>
      <c r="I209" s="0" t="s">
        <v>1343</v>
      </c>
      <c r="J209" s="0" t="s">
        <v>652</v>
      </c>
    </row>
    <row r="210" customFormat="false" ht="15" hidden="false" customHeight="false" outlineLevel="0" collapsed="false">
      <c r="A210" s="0" t="s">
        <v>1132</v>
      </c>
      <c r="B210" s="0" t="n">
        <v>159</v>
      </c>
      <c r="C210" s="0" t="s">
        <v>293</v>
      </c>
      <c r="E210" s="0" t="n">
        <v>7737</v>
      </c>
      <c r="F210" s="0" t="s">
        <v>1344</v>
      </c>
      <c r="G210" s="0" t="s">
        <v>1134</v>
      </c>
      <c r="H210" s="0" t="s">
        <v>1345</v>
      </c>
      <c r="I210" s="0" t="s">
        <v>1346</v>
      </c>
      <c r="J210" s="0" t="s">
        <v>652</v>
      </c>
    </row>
    <row r="211" customFormat="false" ht="15" hidden="false" customHeight="false" outlineLevel="0" collapsed="false">
      <c r="A211" s="0" t="s">
        <v>1132</v>
      </c>
      <c r="B211" s="0" t="n">
        <v>1179</v>
      </c>
      <c r="C211" s="0" t="s">
        <v>308</v>
      </c>
      <c r="E211" s="0" t="n">
        <v>7737</v>
      </c>
      <c r="F211" s="0" t="s">
        <v>1344</v>
      </c>
      <c r="G211" s="0" t="s">
        <v>1134</v>
      </c>
      <c r="H211" s="0" t="s">
        <v>1345</v>
      </c>
      <c r="I211" s="0" t="s">
        <v>1346</v>
      </c>
      <c r="J211" s="0" t="s">
        <v>652</v>
      </c>
    </row>
    <row r="212" customFormat="false" ht="15" hidden="false" customHeight="false" outlineLevel="0" collapsed="false">
      <c r="A212" s="0" t="s">
        <v>1132</v>
      </c>
      <c r="B212" s="0" t="n">
        <v>159</v>
      </c>
      <c r="C212" s="0" t="s">
        <v>293</v>
      </c>
      <c r="E212" s="0" t="n">
        <v>7736</v>
      </c>
      <c r="F212" s="0" t="s">
        <v>1347</v>
      </c>
      <c r="G212" s="0" t="s">
        <v>1134</v>
      </c>
      <c r="H212" s="0" t="s">
        <v>1345</v>
      </c>
      <c r="I212" s="0" t="s">
        <v>1348</v>
      </c>
      <c r="J212" s="0" t="s">
        <v>874</v>
      </c>
    </row>
    <row r="213" customFormat="false" ht="15" hidden="false" customHeight="false" outlineLevel="0" collapsed="false">
      <c r="A213" s="0" t="s">
        <v>1132</v>
      </c>
      <c r="B213" s="0" t="n">
        <v>1179</v>
      </c>
      <c r="C213" s="0" t="s">
        <v>308</v>
      </c>
      <c r="E213" s="0" t="n">
        <v>7736</v>
      </c>
      <c r="F213" s="0" t="s">
        <v>1347</v>
      </c>
      <c r="G213" s="0" t="s">
        <v>1134</v>
      </c>
      <c r="H213" s="0" t="s">
        <v>1345</v>
      </c>
      <c r="I213" s="0" t="s">
        <v>1348</v>
      </c>
      <c r="J213" s="0" t="s">
        <v>874</v>
      </c>
    </row>
    <row r="214" customFormat="false" ht="15" hidden="false" customHeight="false" outlineLevel="0" collapsed="false">
      <c r="A214" s="0" t="s">
        <v>1132</v>
      </c>
      <c r="B214" s="0" t="n">
        <v>4536</v>
      </c>
      <c r="C214" s="0" t="s">
        <v>316</v>
      </c>
      <c r="E214" s="0" t="n">
        <v>7736</v>
      </c>
      <c r="F214" s="0" t="s">
        <v>1347</v>
      </c>
      <c r="G214" s="0" t="s">
        <v>1134</v>
      </c>
      <c r="H214" s="0" t="s">
        <v>1345</v>
      </c>
      <c r="I214" s="0" t="s">
        <v>1348</v>
      </c>
      <c r="J214" s="0" t="s">
        <v>874</v>
      </c>
    </row>
    <row r="215" customFormat="false" ht="15" hidden="false" customHeight="false" outlineLevel="0" collapsed="false">
      <c r="A215" s="0" t="s">
        <v>1132</v>
      </c>
      <c r="B215" s="0" t="n">
        <v>4470</v>
      </c>
      <c r="C215" s="0" t="s">
        <v>292</v>
      </c>
      <c r="E215" s="0" t="n">
        <v>7942</v>
      </c>
      <c r="F215" s="0" t="s">
        <v>1349</v>
      </c>
      <c r="G215" s="0" t="s">
        <v>1140</v>
      </c>
      <c r="H215" s="0" t="s">
        <v>1345</v>
      </c>
      <c r="I215" s="0" t="s">
        <v>1350</v>
      </c>
      <c r="J215" s="0" t="s">
        <v>874</v>
      </c>
    </row>
    <row r="216" customFormat="false" ht="15" hidden="false" customHeight="false" outlineLevel="0" collapsed="false">
      <c r="A216" s="0" t="s">
        <v>1132</v>
      </c>
      <c r="B216" s="0" t="n">
        <v>159</v>
      </c>
      <c r="C216" s="0" t="s">
        <v>293</v>
      </c>
      <c r="E216" s="0" t="n">
        <v>7942</v>
      </c>
      <c r="F216" s="0" t="s">
        <v>1349</v>
      </c>
      <c r="G216" s="0" t="s">
        <v>1140</v>
      </c>
      <c r="H216" s="0" t="s">
        <v>1345</v>
      </c>
      <c r="I216" s="0" t="s">
        <v>1350</v>
      </c>
      <c r="J216" s="0" t="s">
        <v>874</v>
      </c>
    </row>
    <row r="217" customFormat="false" ht="15" hidden="false" customHeight="false" outlineLevel="0" collapsed="false">
      <c r="A217" s="0" t="s">
        <v>1132</v>
      </c>
      <c r="B217" s="0" t="n">
        <v>1179</v>
      </c>
      <c r="C217" s="0" t="s">
        <v>308</v>
      </c>
      <c r="E217" s="0" t="n">
        <v>7942</v>
      </c>
      <c r="F217" s="0" t="s">
        <v>1349</v>
      </c>
      <c r="G217" s="0" t="s">
        <v>1140</v>
      </c>
      <c r="H217" s="0" t="s">
        <v>1345</v>
      </c>
      <c r="I217" s="0" t="s">
        <v>1350</v>
      </c>
      <c r="J217" s="0" t="s">
        <v>874</v>
      </c>
    </row>
    <row r="218" customFormat="false" ht="15" hidden="false" customHeight="false" outlineLevel="0" collapsed="false">
      <c r="A218" s="0" t="s">
        <v>1132</v>
      </c>
      <c r="B218" s="0" t="n">
        <v>159</v>
      </c>
      <c r="C218" s="0" t="s">
        <v>293</v>
      </c>
      <c r="E218" s="0" t="n">
        <v>7943</v>
      </c>
      <c r="F218" s="0" t="s">
        <v>1351</v>
      </c>
      <c r="G218" s="0" t="s">
        <v>1352</v>
      </c>
      <c r="H218" s="0" t="s">
        <v>1345</v>
      </c>
      <c r="I218" s="0" t="s">
        <v>1353</v>
      </c>
      <c r="J218" s="0" t="s">
        <v>874</v>
      </c>
    </row>
    <row r="219" customFormat="false" ht="15" hidden="false" customHeight="false" outlineLevel="0" collapsed="false">
      <c r="A219" s="0" t="s">
        <v>1132</v>
      </c>
      <c r="B219" s="0" t="n">
        <v>1179</v>
      </c>
      <c r="C219" s="0" t="s">
        <v>308</v>
      </c>
      <c r="E219" s="0" t="n">
        <v>7943</v>
      </c>
      <c r="F219" s="0" t="s">
        <v>1351</v>
      </c>
      <c r="G219" s="0" t="s">
        <v>1352</v>
      </c>
      <c r="H219" s="0" t="s">
        <v>1345</v>
      </c>
      <c r="I219" s="0" t="s">
        <v>1353</v>
      </c>
      <c r="J219" s="0" t="s">
        <v>874</v>
      </c>
    </row>
    <row r="220" customFormat="false" ht="15" hidden="false" customHeight="false" outlineLevel="0" collapsed="false">
      <c r="A220" s="0" t="s">
        <v>1132</v>
      </c>
      <c r="B220" s="0" t="n">
        <v>159</v>
      </c>
      <c r="C220" s="0" t="s">
        <v>293</v>
      </c>
      <c r="E220" s="0" t="n">
        <v>8143</v>
      </c>
      <c r="F220" s="0" t="s">
        <v>1354</v>
      </c>
      <c r="G220" s="0" t="s">
        <v>1155</v>
      </c>
      <c r="H220" s="0" t="s">
        <v>1345</v>
      </c>
      <c r="I220" s="0" t="s">
        <v>1355</v>
      </c>
      <c r="J220" s="0" t="s">
        <v>652</v>
      </c>
    </row>
    <row r="221" customFormat="false" ht="15" hidden="false" customHeight="false" outlineLevel="0" collapsed="false">
      <c r="A221" s="0" t="s">
        <v>1132</v>
      </c>
      <c r="B221" s="0" t="n">
        <v>1179</v>
      </c>
      <c r="C221" s="0" t="s">
        <v>308</v>
      </c>
      <c r="E221" s="0" t="n">
        <v>8143</v>
      </c>
      <c r="F221" s="0" t="s">
        <v>1354</v>
      </c>
      <c r="G221" s="0" t="s">
        <v>1155</v>
      </c>
      <c r="H221" s="0" t="s">
        <v>1345</v>
      </c>
      <c r="I221" s="0" t="s">
        <v>1355</v>
      </c>
      <c r="J221" s="0" t="s">
        <v>652</v>
      </c>
    </row>
    <row r="222" customFormat="false" ht="15" hidden="false" customHeight="false" outlineLevel="0" collapsed="false">
      <c r="A222" s="0" t="s">
        <v>1132</v>
      </c>
      <c r="B222" s="0" t="n">
        <v>159</v>
      </c>
      <c r="C222" s="0" t="s">
        <v>293</v>
      </c>
      <c r="E222" s="0" t="n">
        <v>7941</v>
      </c>
      <c r="F222" s="0" t="s">
        <v>1356</v>
      </c>
      <c r="G222" s="0" t="s">
        <v>1155</v>
      </c>
      <c r="H222" s="0" t="s">
        <v>1345</v>
      </c>
      <c r="I222" s="0" t="s">
        <v>1357</v>
      </c>
      <c r="J222" s="0" t="s">
        <v>874</v>
      </c>
    </row>
    <row r="223" customFormat="false" ht="15" hidden="false" customHeight="false" outlineLevel="0" collapsed="false">
      <c r="A223" s="0" t="s">
        <v>1132</v>
      </c>
      <c r="B223" s="0" t="n">
        <v>1179</v>
      </c>
      <c r="C223" s="0" t="s">
        <v>308</v>
      </c>
      <c r="E223" s="0" t="n">
        <v>7941</v>
      </c>
      <c r="F223" s="0" t="s">
        <v>1356</v>
      </c>
      <c r="G223" s="0" t="s">
        <v>1155</v>
      </c>
      <c r="H223" s="0" t="s">
        <v>1345</v>
      </c>
      <c r="I223" s="0" t="s">
        <v>1357</v>
      </c>
      <c r="J223" s="0" t="s">
        <v>874</v>
      </c>
    </row>
    <row r="224" customFormat="false" ht="15" hidden="false" customHeight="false" outlineLevel="0" collapsed="false">
      <c r="A224" s="0" t="s">
        <v>1132</v>
      </c>
      <c r="B224" s="0" t="n">
        <v>3713</v>
      </c>
      <c r="C224" s="0" t="s">
        <v>277</v>
      </c>
      <c r="E224" s="0" t="n">
        <v>8145</v>
      </c>
      <c r="F224" s="0" t="s">
        <v>1358</v>
      </c>
      <c r="G224" s="0" t="s">
        <v>1137</v>
      </c>
      <c r="H224" s="0" t="s">
        <v>1345</v>
      </c>
      <c r="I224" s="0" t="s">
        <v>1359</v>
      </c>
      <c r="J224" s="0" t="s">
        <v>652</v>
      </c>
    </row>
    <row r="225" customFormat="false" ht="15" hidden="false" customHeight="false" outlineLevel="0" collapsed="false">
      <c r="A225" s="0" t="s">
        <v>1132</v>
      </c>
      <c r="B225" s="0" t="n">
        <v>2678</v>
      </c>
      <c r="C225" s="0" t="s">
        <v>271</v>
      </c>
      <c r="E225" s="0" t="n">
        <v>8145</v>
      </c>
      <c r="F225" s="0" t="s">
        <v>1358</v>
      </c>
      <c r="G225" s="0" t="s">
        <v>1137</v>
      </c>
      <c r="H225" s="0" t="s">
        <v>1345</v>
      </c>
      <c r="I225" s="0" t="s">
        <v>1359</v>
      </c>
      <c r="J225" s="0" t="s">
        <v>652</v>
      </c>
    </row>
    <row r="226" customFormat="false" ht="15" hidden="false" customHeight="false" outlineLevel="0" collapsed="false">
      <c r="A226" s="0" t="s">
        <v>1132</v>
      </c>
      <c r="B226" s="0" t="n">
        <v>2692</v>
      </c>
      <c r="C226" s="0" t="s">
        <v>275</v>
      </c>
      <c r="E226" s="0" t="n">
        <v>8145</v>
      </c>
      <c r="F226" s="0" t="s">
        <v>1358</v>
      </c>
      <c r="G226" s="0" t="s">
        <v>1137</v>
      </c>
      <c r="H226" s="0" t="s">
        <v>1345</v>
      </c>
      <c r="I226" s="0" t="s">
        <v>1359</v>
      </c>
      <c r="J226" s="0" t="s">
        <v>652</v>
      </c>
    </row>
    <row r="227" customFormat="false" ht="15" hidden="false" customHeight="false" outlineLevel="0" collapsed="false">
      <c r="A227" s="0" t="s">
        <v>1132</v>
      </c>
      <c r="B227" s="0" t="n">
        <v>3713</v>
      </c>
      <c r="C227" s="0" t="s">
        <v>277</v>
      </c>
      <c r="E227" s="0" t="n">
        <v>7947</v>
      </c>
      <c r="F227" s="0" t="s">
        <v>1360</v>
      </c>
      <c r="G227" s="0" t="s">
        <v>1137</v>
      </c>
      <c r="H227" s="0" t="s">
        <v>1345</v>
      </c>
      <c r="I227" s="0" t="s">
        <v>1361</v>
      </c>
      <c r="J227" s="0" t="s">
        <v>874</v>
      </c>
    </row>
    <row r="228" customFormat="false" ht="15" hidden="false" customHeight="false" outlineLevel="0" collapsed="false">
      <c r="A228" s="0" t="s">
        <v>1132</v>
      </c>
      <c r="B228" s="0" t="n">
        <v>2678</v>
      </c>
      <c r="C228" s="0" t="s">
        <v>271</v>
      </c>
      <c r="E228" s="0" t="n">
        <v>7947</v>
      </c>
      <c r="F228" s="0" t="s">
        <v>1360</v>
      </c>
      <c r="G228" s="0" t="s">
        <v>1137</v>
      </c>
      <c r="H228" s="0" t="s">
        <v>1345</v>
      </c>
      <c r="I228" s="0" t="s">
        <v>1361</v>
      </c>
      <c r="J228" s="0" t="s">
        <v>874</v>
      </c>
    </row>
    <row r="229" customFormat="false" ht="15" hidden="false" customHeight="false" outlineLevel="0" collapsed="false">
      <c r="A229" s="0" t="s">
        <v>1132</v>
      </c>
      <c r="B229" s="0" t="n">
        <v>2692</v>
      </c>
      <c r="C229" s="0" t="s">
        <v>275</v>
      </c>
      <c r="E229" s="0" t="n">
        <v>7947</v>
      </c>
      <c r="F229" s="0" t="s">
        <v>1360</v>
      </c>
      <c r="G229" s="0" t="s">
        <v>1137</v>
      </c>
      <c r="H229" s="0" t="s">
        <v>1345</v>
      </c>
      <c r="I229" s="0" t="s">
        <v>1361</v>
      </c>
      <c r="J229" s="0" t="s">
        <v>874</v>
      </c>
    </row>
    <row r="230" customFormat="false" ht="15" hidden="false" customHeight="false" outlineLevel="0" collapsed="false">
      <c r="A230" s="0" t="s">
        <v>1132</v>
      </c>
      <c r="B230" s="0" t="n">
        <v>4470</v>
      </c>
      <c r="C230" s="0" t="s">
        <v>292</v>
      </c>
      <c r="E230" s="0" t="n">
        <v>2806</v>
      </c>
      <c r="F230" s="0" t="s">
        <v>1362</v>
      </c>
      <c r="G230" s="0" t="s">
        <v>1140</v>
      </c>
      <c r="H230" s="0" t="s">
        <v>1363</v>
      </c>
      <c r="I230" s="0" t="s">
        <v>1364</v>
      </c>
      <c r="J230" s="0" t="s">
        <v>652</v>
      </c>
    </row>
    <row r="231" customFormat="false" ht="15" hidden="false" customHeight="false" outlineLevel="0" collapsed="false">
      <c r="A231" s="0" t="s">
        <v>1132</v>
      </c>
      <c r="B231" s="0" t="n">
        <v>159</v>
      </c>
      <c r="C231" s="0" t="s">
        <v>293</v>
      </c>
      <c r="E231" s="0" t="n">
        <v>2806</v>
      </c>
      <c r="F231" s="0" t="s">
        <v>1362</v>
      </c>
      <c r="G231" s="0" t="s">
        <v>1140</v>
      </c>
      <c r="H231" s="0" t="s">
        <v>1363</v>
      </c>
      <c r="I231" s="0" t="s">
        <v>1364</v>
      </c>
      <c r="J231" s="0" t="s">
        <v>652</v>
      </c>
    </row>
    <row r="232" customFormat="false" ht="15" hidden="false" customHeight="false" outlineLevel="0" collapsed="false">
      <c r="A232" s="0" t="s">
        <v>1132</v>
      </c>
      <c r="B232" s="0" t="n">
        <v>1179</v>
      </c>
      <c r="C232" s="0" t="s">
        <v>308</v>
      </c>
      <c r="E232" s="0" t="n">
        <v>2806</v>
      </c>
      <c r="F232" s="0" t="s">
        <v>1362</v>
      </c>
      <c r="G232" s="0" t="s">
        <v>1140</v>
      </c>
      <c r="H232" s="0" t="s">
        <v>1363</v>
      </c>
      <c r="I232" s="0" t="s">
        <v>1364</v>
      </c>
      <c r="J232" s="0" t="s">
        <v>652</v>
      </c>
    </row>
    <row r="233" customFormat="false" ht="15" hidden="false" customHeight="false" outlineLevel="0" collapsed="false">
      <c r="A233" s="0" t="s">
        <v>1132</v>
      </c>
      <c r="B233" s="0" t="n">
        <v>4470</v>
      </c>
      <c r="C233" s="0" t="s">
        <v>292</v>
      </c>
      <c r="E233" s="0" t="n">
        <v>11555</v>
      </c>
      <c r="F233" s="0" t="s">
        <v>1365</v>
      </c>
      <c r="H233" s="0" t="s">
        <v>1363</v>
      </c>
      <c r="I233" s="0" t="s">
        <v>1366</v>
      </c>
      <c r="J233" s="0" t="s">
        <v>1367</v>
      </c>
    </row>
    <row r="234" customFormat="false" ht="15" hidden="false" customHeight="false" outlineLevel="0" collapsed="false">
      <c r="A234" s="0" t="s">
        <v>1132</v>
      </c>
      <c r="B234" s="0" t="n">
        <v>159</v>
      </c>
      <c r="C234" s="0" t="s">
        <v>293</v>
      </c>
      <c r="E234" s="0" t="n">
        <v>11555</v>
      </c>
      <c r="F234" s="0" t="s">
        <v>1365</v>
      </c>
      <c r="H234" s="0" t="s">
        <v>1363</v>
      </c>
      <c r="I234" s="0" t="s">
        <v>1366</v>
      </c>
      <c r="J234" s="0" t="s">
        <v>1367</v>
      </c>
    </row>
    <row r="235" customFormat="false" ht="15" hidden="false" customHeight="false" outlineLevel="0" collapsed="false">
      <c r="A235" s="0" t="s">
        <v>1132</v>
      </c>
      <c r="B235" s="0" t="n">
        <v>4470</v>
      </c>
      <c r="C235" s="0" t="s">
        <v>292</v>
      </c>
      <c r="E235" s="0" t="n">
        <v>2803</v>
      </c>
      <c r="F235" s="0" t="s">
        <v>1368</v>
      </c>
      <c r="G235" s="0" t="s">
        <v>1140</v>
      </c>
      <c r="H235" s="0" t="s">
        <v>1363</v>
      </c>
      <c r="I235" s="0" t="s">
        <v>1369</v>
      </c>
      <c r="J235" s="0" t="s">
        <v>874</v>
      </c>
    </row>
    <row r="236" customFormat="false" ht="15" hidden="false" customHeight="false" outlineLevel="0" collapsed="false">
      <c r="A236" s="0" t="s">
        <v>1132</v>
      </c>
      <c r="B236" s="0" t="n">
        <v>159</v>
      </c>
      <c r="C236" s="0" t="s">
        <v>293</v>
      </c>
      <c r="E236" s="0" t="n">
        <v>2803</v>
      </c>
      <c r="F236" s="0" t="s">
        <v>1368</v>
      </c>
      <c r="G236" s="0" t="s">
        <v>1140</v>
      </c>
      <c r="H236" s="0" t="s">
        <v>1363</v>
      </c>
      <c r="I236" s="0" t="s">
        <v>1369</v>
      </c>
      <c r="J236" s="0" t="s">
        <v>874</v>
      </c>
    </row>
    <row r="237" customFormat="false" ht="15" hidden="false" customHeight="false" outlineLevel="0" collapsed="false">
      <c r="A237" s="0" t="s">
        <v>1132</v>
      </c>
      <c r="B237" s="0" t="n">
        <v>1179</v>
      </c>
      <c r="C237" s="0" t="s">
        <v>308</v>
      </c>
      <c r="E237" s="0" t="n">
        <v>2803</v>
      </c>
      <c r="F237" s="0" t="s">
        <v>1368</v>
      </c>
      <c r="G237" s="0" t="s">
        <v>1140</v>
      </c>
      <c r="H237" s="0" t="s">
        <v>1363</v>
      </c>
      <c r="I237" s="0" t="s">
        <v>1369</v>
      </c>
      <c r="J237" s="0" t="s">
        <v>874</v>
      </c>
    </row>
    <row r="238" customFormat="false" ht="15" hidden="false" customHeight="false" outlineLevel="0" collapsed="false">
      <c r="A238" s="0" t="s">
        <v>1132</v>
      </c>
      <c r="B238" s="0" t="n">
        <v>4470</v>
      </c>
      <c r="C238" s="0" t="s">
        <v>292</v>
      </c>
      <c r="E238" s="0" t="n">
        <v>14624</v>
      </c>
      <c r="F238" s="0" t="s">
        <v>1370</v>
      </c>
      <c r="G238" s="0" t="s">
        <v>1371</v>
      </c>
      <c r="H238" s="0" t="s">
        <v>1372</v>
      </c>
      <c r="I238" s="0" t="s">
        <v>1373</v>
      </c>
      <c r="J238" s="0" t="s">
        <v>920</v>
      </c>
    </row>
    <row r="239" customFormat="false" ht="15" hidden="false" customHeight="false" outlineLevel="0" collapsed="false">
      <c r="A239" s="0" t="s">
        <v>1132</v>
      </c>
      <c r="B239" s="0" t="n">
        <v>159</v>
      </c>
      <c r="C239" s="0" t="s">
        <v>293</v>
      </c>
      <c r="E239" s="0" t="n">
        <v>14624</v>
      </c>
      <c r="F239" s="0" t="s">
        <v>1370</v>
      </c>
      <c r="G239" s="0" t="s">
        <v>1371</v>
      </c>
      <c r="H239" s="0" t="s">
        <v>1372</v>
      </c>
      <c r="I239" s="0" t="s">
        <v>1373</v>
      </c>
      <c r="J239" s="0" t="s">
        <v>920</v>
      </c>
    </row>
    <row r="240" customFormat="false" ht="15" hidden="false" customHeight="false" outlineLevel="0" collapsed="false">
      <c r="A240" s="0" t="s">
        <v>1132</v>
      </c>
      <c r="B240" s="0" t="n">
        <v>1179</v>
      </c>
      <c r="C240" s="0" t="s">
        <v>308</v>
      </c>
      <c r="E240" s="0" t="n">
        <v>14624</v>
      </c>
      <c r="F240" s="0" t="s">
        <v>1370</v>
      </c>
      <c r="G240" s="0" t="s">
        <v>1371</v>
      </c>
      <c r="H240" s="0" t="s">
        <v>1372</v>
      </c>
      <c r="I240" s="0" t="s">
        <v>1373</v>
      </c>
      <c r="J240" s="0" t="s">
        <v>920</v>
      </c>
    </row>
    <row r="241" customFormat="false" ht="15" hidden="false" customHeight="false" outlineLevel="0" collapsed="false">
      <c r="A241" s="0" t="s">
        <v>1132</v>
      </c>
      <c r="B241" s="0" t="n">
        <v>159</v>
      </c>
      <c r="C241" s="0" t="s">
        <v>293</v>
      </c>
      <c r="E241" s="0" t="n">
        <v>14371</v>
      </c>
      <c r="F241" s="0" t="s">
        <v>1374</v>
      </c>
      <c r="H241" s="0" t="s">
        <v>1375</v>
      </c>
      <c r="I241" s="0" t="s">
        <v>1376</v>
      </c>
      <c r="J241" s="0" t="s">
        <v>920</v>
      </c>
    </row>
    <row r="242" customFormat="false" ht="15" hidden="false" customHeight="false" outlineLevel="0" collapsed="false">
      <c r="A242" s="0" t="s">
        <v>1132</v>
      </c>
      <c r="B242" s="0" t="n">
        <v>1179</v>
      </c>
      <c r="C242" s="0" t="s">
        <v>308</v>
      </c>
      <c r="E242" s="0" t="n">
        <v>14371</v>
      </c>
      <c r="F242" s="0" t="s">
        <v>1374</v>
      </c>
      <c r="H242" s="0" t="s">
        <v>1375</v>
      </c>
      <c r="I242" s="0" t="s">
        <v>1376</v>
      </c>
      <c r="J242" s="0" t="s">
        <v>920</v>
      </c>
    </row>
    <row r="243" customFormat="false" ht="15" hidden="false" customHeight="false" outlineLevel="0" collapsed="false">
      <c r="A243" s="0" t="s">
        <v>1132</v>
      </c>
      <c r="B243" s="0" t="n">
        <v>159</v>
      </c>
      <c r="C243" s="0" t="s">
        <v>293</v>
      </c>
      <c r="E243" s="0" t="n">
        <v>12794</v>
      </c>
      <c r="F243" s="0" t="s">
        <v>1377</v>
      </c>
      <c r="G243" s="0" t="s">
        <v>1378</v>
      </c>
      <c r="H243" s="0" t="s">
        <v>1379</v>
      </c>
      <c r="I243" s="0" t="s">
        <v>1376</v>
      </c>
      <c r="J243" s="0" t="s">
        <v>652</v>
      </c>
    </row>
    <row r="244" customFormat="false" ht="15" hidden="false" customHeight="false" outlineLevel="0" collapsed="false">
      <c r="A244" s="0" t="s">
        <v>1132</v>
      </c>
      <c r="B244" s="0" t="n">
        <v>1179</v>
      </c>
      <c r="C244" s="0" t="s">
        <v>308</v>
      </c>
      <c r="E244" s="0" t="n">
        <v>12794</v>
      </c>
      <c r="F244" s="0" t="s">
        <v>1377</v>
      </c>
      <c r="G244" s="0" t="s">
        <v>1378</v>
      </c>
      <c r="H244" s="0" t="s">
        <v>1379</v>
      </c>
      <c r="I244" s="0" t="s">
        <v>1376</v>
      </c>
      <c r="J244" s="0" t="s">
        <v>652</v>
      </c>
    </row>
    <row r="245" customFormat="false" ht="15" hidden="false" customHeight="false" outlineLevel="0" collapsed="false">
      <c r="A245" s="0" t="s">
        <v>1132</v>
      </c>
      <c r="B245" s="0" t="n">
        <v>2596</v>
      </c>
      <c r="C245" s="0" t="s">
        <v>363</v>
      </c>
      <c r="E245" s="0" t="n">
        <v>12794</v>
      </c>
      <c r="F245" s="0" t="s">
        <v>1377</v>
      </c>
      <c r="G245" s="0" t="s">
        <v>1378</v>
      </c>
      <c r="H245" s="0" t="s">
        <v>1379</v>
      </c>
      <c r="I245" s="0" t="s">
        <v>1376</v>
      </c>
      <c r="J245" s="0" t="s">
        <v>652</v>
      </c>
    </row>
    <row r="246" customFormat="false" ht="15" hidden="false" customHeight="false" outlineLevel="0" collapsed="false">
      <c r="A246" s="0" t="s">
        <v>1132</v>
      </c>
      <c r="B246" s="0" t="n">
        <v>4536</v>
      </c>
      <c r="C246" s="0" t="s">
        <v>316</v>
      </c>
      <c r="E246" s="0" t="n">
        <v>12794</v>
      </c>
      <c r="F246" s="0" t="s">
        <v>1377</v>
      </c>
      <c r="G246" s="0" t="s">
        <v>1378</v>
      </c>
      <c r="H246" s="0" t="s">
        <v>1379</v>
      </c>
      <c r="I246" s="0" t="s">
        <v>1376</v>
      </c>
      <c r="J246" s="0" t="s">
        <v>652</v>
      </c>
    </row>
    <row r="247" customFormat="false" ht="15" hidden="false" customHeight="false" outlineLevel="0" collapsed="false">
      <c r="A247" s="0" t="s">
        <v>1132</v>
      </c>
      <c r="B247" s="0" t="n">
        <v>159</v>
      </c>
      <c r="C247" s="0" t="s">
        <v>293</v>
      </c>
      <c r="E247" s="0" t="n">
        <v>9501</v>
      </c>
      <c r="F247" s="0" t="s">
        <v>1380</v>
      </c>
      <c r="G247" s="0" t="s">
        <v>1134</v>
      </c>
      <c r="H247" s="0" t="s">
        <v>1381</v>
      </c>
      <c r="I247" s="0" t="s">
        <v>1382</v>
      </c>
      <c r="J247" s="0" t="s">
        <v>652</v>
      </c>
    </row>
    <row r="248" customFormat="false" ht="15" hidden="false" customHeight="false" outlineLevel="0" collapsed="false">
      <c r="A248" s="0" t="s">
        <v>1132</v>
      </c>
      <c r="B248" s="0" t="n">
        <v>1179</v>
      </c>
      <c r="C248" s="0" t="s">
        <v>308</v>
      </c>
      <c r="E248" s="0" t="n">
        <v>9501</v>
      </c>
      <c r="F248" s="0" t="s">
        <v>1380</v>
      </c>
      <c r="G248" s="0" t="s">
        <v>1134</v>
      </c>
      <c r="H248" s="0" t="s">
        <v>1381</v>
      </c>
      <c r="I248" s="0" t="s">
        <v>1382</v>
      </c>
      <c r="J248" s="0" t="s">
        <v>652</v>
      </c>
    </row>
    <row r="249" customFormat="false" ht="15" hidden="false" customHeight="false" outlineLevel="0" collapsed="false">
      <c r="A249" s="0" t="s">
        <v>1132</v>
      </c>
      <c r="B249" s="0" t="n">
        <v>4470</v>
      </c>
      <c r="C249" s="0" t="s">
        <v>292</v>
      </c>
      <c r="E249" s="0" t="n">
        <v>2820</v>
      </c>
      <c r="F249" s="0" t="s">
        <v>1383</v>
      </c>
      <c r="G249" s="0" t="s">
        <v>1140</v>
      </c>
      <c r="H249" s="0" t="s">
        <v>1381</v>
      </c>
      <c r="I249" s="0" t="s">
        <v>1384</v>
      </c>
      <c r="J249" s="0" t="s">
        <v>652</v>
      </c>
    </row>
    <row r="250" customFormat="false" ht="15" hidden="false" customHeight="false" outlineLevel="0" collapsed="false">
      <c r="A250" s="0" t="s">
        <v>1132</v>
      </c>
      <c r="B250" s="0" t="n">
        <v>159</v>
      </c>
      <c r="C250" s="0" t="s">
        <v>293</v>
      </c>
      <c r="E250" s="0" t="n">
        <v>2820</v>
      </c>
      <c r="F250" s="0" t="s">
        <v>1383</v>
      </c>
      <c r="G250" s="0" t="s">
        <v>1140</v>
      </c>
      <c r="H250" s="0" t="s">
        <v>1381</v>
      </c>
      <c r="I250" s="0" t="s">
        <v>1384</v>
      </c>
      <c r="J250" s="0" t="s">
        <v>652</v>
      </c>
    </row>
    <row r="251" customFormat="false" ht="15" hidden="false" customHeight="false" outlineLevel="0" collapsed="false">
      <c r="A251" s="0" t="s">
        <v>1132</v>
      </c>
      <c r="B251" s="0" t="n">
        <v>3713</v>
      </c>
      <c r="C251" s="0" t="s">
        <v>277</v>
      </c>
      <c r="E251" s="0" t="n">
        <v>2810</v>
      </c>
      <c r="F251" s="0" t="s">
        <v>1385</v>
      </c>
      <c r="G251" s="0" t="s">
        <v>1386</v>
      </c>
      <c r="H251" s="0" t="s">
        <v>1381</v>
      </c>
      <c r="I251" s="0" t="s">
        <v>1387</v>
      </c>
      <c r="J251" s="0" t="s">
        <v>874</v>
      </c>
    </row>
    <row r="252" customFormat="false" ht="15" hidden="false" customHeight="false" outlineLevel="0" collapsed="false">
      <c r="A252" s="0" t="s">
        <v>1132</v>
      </c>
      <c r="B252" s="0" t="n">
        <v>2678</v>
      </c>
      <c r="C252" s="0" t="s">
        <v>271</v>
      </c>
      <c r="E252" s="0" t="n">
        <v>2810</v>
      </c>
      <c r="F252" s="0" t="s">
        <v>1385</v>
      </c>
      <c r="G252" s="0" t="s">
        <v>1386</v>
      </c>
      <c r="H252" s="0" t="s">
        <v>1381</v>
      </c>
      <c r="I252" s="0" t="s">
        <v>1387</v>
      </c>
      <c r="J252" s="0" t="s">
        <v>874</v>
      </c>
    </row>
    <row r="253" customFormat="false" ht="15" hidden="false" customHeight="false" outlineLevel="0" collapsed="false">
      <c r="A253" s="0" t="s">
        <v>1132</v>
      </c>
      <c r="B253" s="0" t="n">
        <v>2692</v>
      </c>
      <c r="C253" s="0" t="s">
        <v>275</v>
      </c>
      <c r="E253" s="0" t="n">
        <v>2810</v>
      </c>
      <c r="F253" s="0" t="s">
        <v>1385</v>
      </c>
      <c r="G253" s="0" t="s">
        <v>1386</v>
      </c>
      <c r="H253" s="0" t="s">
        <v>1381</v>
      </c>
      <c r="I253" s="0" t="s">
        <v>1387</v>
      </c>
      <c r="J253" s="0" t="s">
        <v>874</v>
      </c>
    </row>
    <row r="254" customFormat="false" ht="15" hidden="false" customHeight="false" outlineLevel="0" collapsed="false">
      <c r="A254" s="0" t="s">
        <v>1132</v>
      </c>
      <c r="B254" s="0" t="n">
        <v>3713</v>
      </c>
      <c r="C254" s="0" t="s">
        <v>277</v>
      </c>
      <c r="E254" s="0" t="n">
        <v>2821</v>
      </c>
      <c r="F254" s="0" t="s">
        <v>786</v>
      </c>
      <c r="G254" s="0" t="s">
        <v>1137</v>
      </c>
      <c r="H254" s="0" t="s">
        <v>1381</v>
      </c>
      <c r="I254" s="0" t="s">
        <v>1388</v>
      </c>
      <c r="J254" s="0" t="s">
        <v>652</v>
      </c>
    </row>
    <row r="255" customFormat="false" ht="15" hidden="false" customHeight="false" outlineLevel="0" collapsed="false">
      <c r="A255" s="0" t="s">
        <v>1132</v>
      </c>
      <c r="B255" s="0" t="n">
        <v>2678</v>
      </c>
      <c r="C255" s="0" t="s">
        <v>271</v>
      </c>
      <c r="E255" s="0" t="n">
        <v>2821</v>
      </c>
      <c r="F255" s="0" t="s">
        <v>786</v>
      </c>
      <c r="G255" s="0" t="s">
        <v>1137</v>
      </c>
      <c r="H255" s="0" t="s">
        <v>1381</v>
      </c>
      <c r="I255" s="0" t="s">
        <v>1388</v>
      </c>
      <c r="J255" s="0" t="s">
        <v>652</v>
      </c>
    </row>
    <row r="256" customFormat="false" ht="15" hidden="false" customHeight="false" outlineLevel="0" collapsed="false">
      <c r="A256" s="0" t="s">
        <v>1132</v>
      </c>
      <c r="B256" s="0" t="n">
        <v>2692</v>
      </c>
      <c r="C256" s="0" t="s">
        <v>275</v>
      </c>
      <c r="E256" s="0" t="n">
        <v>2821</v>
      </c>
      <c r="F256" s="0" t="s">
        <v>786</v>
      </c>
      <c r="G256" s="0" t="s">
        <v>1137</v>
      </c>
      <c r="H256" s="0" t="s">
        <v>1381</v>
      </c>
      <c r="I256" s="0" t="s">
        <v>1388</v>
      </c>
      <c r="J256" s="0" t="s">
        <v>652</v>
      </c>
    </row>
    <row r="257" customFormat="false" ht="15" hidden="false" customHeight="false" outlineLevel="0" collapsed="false">
      <c r="A257" s="0" t="s">
        <v>1132</v>
      </c>
      <c r="B257" s="0" t="n">
        <v>4470</v>
      </c>
      <c r="C257" s="0" t="s">
        <v>292</v>
      </c>
      <c r="E257" s="0" t="n">
        <v>2808</v>
      </c>
      <c r="F257" s="0" t="s">
        <v>1389</v>
      </c>
      <c r="G257" s="0" t="s">
        <v>1140</v>
      </c>
      <c r="H257" s="0" t="s">
        <v>1381</v>
      </c>
      <c r="I257" s="0" t="s">
        <v>1390</v>
      </c>
      <c r="J257" s="0" t="s">
        <v>874</v>
      </c>
    </row>
    <row r="258" customFormat="false" ht="15" hidden="false" customHeight="false" outlineLevel="0" collapsed="false">
      <c r="A258" s="0" t="s">
        <v>1132</v>
      </c>
      <c r="B258" s="0" t="n">
        <v>159</v>
      </c>
      <c r="C258" s="0" t="s">
        <v>293</v>
      </c>
      <c r="E258" s="0" t="n">
        <v>2808</v>
      </c>
      <c r="F258" s="0" t="s">
        <v>1389</v>
      </c>
      <c r="G258" s="0" t="s">
        <v>1140</v>
      </c>
      <c r="H258" s="0" t="s">
        <v>1381</v>
      </c>
      <c r="I258" s="0" t="s">
        <v>1390</v>
      </c>
      <c r="J258" s="0" t="s">
        <v>874</v>
      </c>
    </row>
    <row r="259" customFormat="false" ht="15" hidden="false" customHeight="false" outlineLevel="0" collapsed="false">
      <c r="A259" s="0" t="s">
        <v>1132</v>
      </c>
      <c r="B259" s="0" t="n">
        <v>4536</v>
      </c>
      <c r="C259" s="0" t="s">
        <v>316</v>
      </c>
      <c r="E259" s="0" t="n">
        <v>7978</v>
      </c>
      <c r="F259" s="0" t="s">
        <v>1391</v>
      </c>
      <c r="G259" s="0" t="s">
        <v>1392</v>
      </c>
      <c r="H259" s="0" t="s">
        <v>888</v>
      </c>
      <c r="I259" s="0" t="s">
        <v>1393</v>
      </c>
      <c r="J259" s="0" t="s">
        <v>874</v>
      </c>
    </row>
    <row r="260" customFormat="false" ht="15" hidden="false" customHeight="false" outlineLevel="0" collapsed="false">
      <c r="A260" s="0" t="s">
        <v>1132</v>
      </c>
      <c r="B260" s="0" t="n">
        <v>2596</v>
      </c>
      <c r="C260" s="0" t="s">
        <v>363</v>
      </c>
      <c r="E260" s="0" t="n">
        <v>5570</v>
      </c>
      <c r="F260" s="0" t="s">
        <v>1394</v>
      </c>
      <c r="G260" s="0" t="s">
        <v>1175</v>
      </c>
      <c r="H260" s="0" t="s">
        <v>888</v>
      </c>
      <c r="I260" s="0" t="s">
        <v>1395</v>
      </c>
      <c r="J260" s="0" t="s">
        <v>874</v>
      </c>
    </row>
    <row r="261" customFormat="false" ht="15" hidden="false" customHeight="false" outlineLevel="0" collapsed="false">
      <c r="A261" s="0" t="s">
        <v>1132</v>
      </c>
      <c r="B261" s="0" t="n">
        <v>4470</v>
      </c>
      <c r="C261" s="0" t="s">
        <v>292</v>
      </c>
      <c r="E261" s="0" t="n">
        <v>5101</v>
      </c>
      <c r="F261" s="0" t="s">
        <v>1396</v>
      </c>
      <c r="G261" s="0" t="s">
        <v>1178</v>
      </c>
      <c r="H261" s="0" t="s">
        <v>888</v>
      </c>
      <c r="I261" s="0" t="s">
        <v>1397</v>
      </c>
      <c r="J261" s="0" t="s">
        <v>874</v>
      </c>
    </row>
    <row r="262" customFormat="false" ht="15" hidden="false" customHeight="false" outlineLevel="0" collapsed="false">
      <c r="A262" s="0" t="s">
        <v>1132</v>
      </c>
      <c r="B262" s="0" t="n">
        <v>159</v>
      </c>
      <c r="C262" s="0" t="s">
        <v>293</v>
      </c>
      <c r="E262" s="0" t="n">
        <v>5101</v>
      </c>
      <c r="F262" s="0" t="s">
        <v>1396</v>
      </c>
      <c r="G262" s="0" t="s">
        <v>1178</v>
      </c>
      <c r="H262" s="0" t="s">
        <v>888</v>
      </c>
      <c r="I262" s="0" t="s">
        <v>1397</v>
      </c>
      <c r="J262" s="0" t="s">
        <v>874</v>
      </c>
    </row>
    <row r="263" customFormat="false" ht="15" hidden="false" customHeight="false" outlineLevel="0" collapsed="false">
      <c r="A263" s="0" t="s">
        <v>1132</v>
      </c>
      <c r="B263" s="0" t="n">
        <v>3713</v>
      </c>
      <c r="C263" s="0" t="s">
        <v>277</v>
      </c>
      <c r="E263" s="0" t="n">
        <v>5163</v>
      </c>
      <c r="F263" s="0" t="s">
        <v>1398</v>
      </c>
      <c r="G263" s="0" t="s">
        <v>1137</v>
      </c>
      <c r="H263" s="0" t="s">
        <v>888</v>
      </c>
      <c r="I263" s="0" t="s">
        <v>1399</v>
      </c>
      <c r="J263" s="0" t="s">
        <v>874</v>
      </c>
    </row>
    <row r="264" customFormat="false" ht="15" hidden="false" customHeight="false" outlineLevel="0" collapsed="false">
      <c r="A264" s="0" t="s">
        <v>1132</v>
      </c>
      <c r="B264" s="0" t="n">
        <v>2678</v>
      </c>
      <c r="C264" s="0" t="s">
        <v>271</v>
      </c>
      <c r="E264" s="0" t="n">
        <v>5163</v>
      </c>
      <c r="F264" s="0" t="s">
        <v>1398</v>
      </c>
      <c r="G264" s="0" t="s">
        <v>1137</v>
      </c>
      <c r="H264" s="0" t="s">
        <v>888</v>
      </c>
      <c r="I264" s="0" t="s">
        <v>1399</v>
      </c>
      <c r="J264" s="0" t="s">
        <v>874</v>
      </c>
    </row>
    <row r="265" customFormat="false" ht="15" hidden="false" customHeight="false" outlineLevel="0" collapsed="false">
      <c r="A265" s="0" t="s">
        <v>1132</v>
      </c>
      <c r="B265" s="0" t="n">
        <v>2692</v>
      </c>
      <c r="C265" s="0" t="s">
        <v>275</v>
      </c>
      <c r="E265" s="0" t="n">
        <v>5163</v>
      </c>
      <c r="F265" s="0" t="s">
        <v>1398</v>
      </c>
      <c r="G265" s="0" t="s">
        <v>1137</v>
      </c>
      <c r="H265" s="0" t="s">
        <v>888</v>
      </c>
      <c r="I265" s="0" t="s">
        <v>1399</v>
      </c>
      <c r="J265" s="0" t="s">
        <v>874</v>
      </c>
    </row>
    <row r="266" customFormat="false" ht="15" hidden="false" customHeight="false" outlineLevel="0" collapsed="false">
      <c r="A266" s="0" t="s">
        <v>1132</v>
      </c>
      <c r="B266" s="0" t="n">
        <v>159</v>
      </c>
      <c r="C266" s="0" t="s">
        <v>293</v>
      </c>
      <c r="E266" s="0" t="n">
        <v>5140</v>
      </c>
      <c r="F266" s="0" t="s">
        <v>1400</v>
      </c>
      <c r="G266" s="0" t="s">
        <v>1190</v>
      </c>
      <c r="H266" s="0" t="s">
        <v>888</v>
      </c>
      <c r="I266" s="0" t="s">
        <v>1401</v>
      </c>
      <c r="J266" s="0" t="s">
        <v>874</v>
      </c>
    </row>
    <row r="267" customFormat="false" ht="15" hidden="false" customHeight="false" outlineLevel="0" collapsed="false">
      <c r="A267" s="0" t="s">
        <v>1132</v>
      </c>
      <c r="B267" s="0" t="n">
        <v>1179</v>
      </c>
      <c r="C267" s="0" t="s">
        <v>308</v>
      </c>
      <c r="E267" s="0" t="n">
        <v>5140</v>
      </c>
      <c r="F267" s="0" t="s">
        <v>1400</v>
      </c>
      <c r="G267" s="0" t="s">
        <v>1190</v>
      </c>
      <c r="H267" s="0" t="s">
        <v>888</v>
      </c>
      <c r="I267" s="0" t="s">
        <v>1401</v>
      </c>
      <c r="J267" s="0" t="s">
        <v>874</v>
      </c>
    </row>
    <row r="268" customFormat="false" ht="15" hidden="false" customHeight="false" outlineLevel="0" collapsed="false">
      <c r="A268" s="0" t="s">
        <v>1132</v>
      </c>
      <c r="B268" s="0" t="n">
        <v>2596</v>
      </c>
      <c r="C268" s="0" t="s">
        <v>363</v>
      </c>
      <c r="E268" s="0" t="n">
        <v>5140</v>
      </c>
      <c r="F268" s="0" t="s">
        <v>1400</v>
      </c>
      <c r="G268" s="0" t="s">
        <v>1190</v>
      </c>
      <c r="H268" s="0" t="s">
        <v>888</v>
      </c>
      <c r="I268" s="0" t="s">
        <v>1401</v>
      </c>
      <c r="J268" s="0" t="s">
        <v>874</v>
      </c>
    </row>
    <row r="269" customFormat="false" ht="15" hidden="false" customHeight="false" outlineLevel="0" collapsed="false">
      <c r="A269" s="0" t="s">
        <v>1132</v>
      </c>
      <c r="B269" s="0" t="n">
        <v>159</v>
      </c>
      <c r="C269" s="0" t="s">
        <v>293</v>
      </c>
      <c r="E269" s="0" t="n">
        <v>5160</v>
      </c>
      <c r="F269" s="0" t="s">
        <v>1402</v>
      </c>
      <c r="G269" s="0" t="s">
        <v>1193</v>
      </c>
      <c r="H269" s="0" t="s">
        <v>888</v>
      </c>
      <c r="I269" s="0" t="s">
        <v>1403</v>
      </c>
      <c r="J269" s="0" t="s">
        <v>874</v>
      </c>
    </row>
    <row r="270" customFormat="false" ht="15" hidden="false" customHeight="false" outlineLevel="0" collapsed="false">
      <c r="A270" s="0" t="s">
        <v>1132</v>
      </c>
      <c r="B270" s="0" t="n">
        <v>3713</v>
      </c>
      <c r="C270" s="0" t="s">
        <v>277</v>
      </c>
      <c r="E270" s="0" t="n">
        <v>5160</v>
      </c>
      <c r="F270" s="0" t="s">
        <v>1402</v>
      </c>
      <c r="G270" s="0" t="s">
        <v>1193</v>
      </c>
      <c r="H270" s="0" t="s">
        <v>888</v>
      </c>
      <c r="I270" s="0" t="s">
        <v>1403</v>
      </c>
      <c r="J270" s="0" t="s">
        <v>874</v>
      </c>
    </row>
    <row r="271" customFormat="false" ht="15" hidden="false" customHeight="false" outlineLevel="0" collapsed="false">
      <c r="A271" s="0" t="s">
        <v>1132</v>
      </c>
      <c r="B271" s="0" t="n">
        <v>2678</v>
      </c>
      <c r="C271" s="0" t="s">
        <v>271</v>
      </c>
      <c r="E271" s="0" t="n">
        <v>5160</v>
      </c>
      <c r="F271" s="0" t="s">
        <v>1402</v>
      </c>
      <c r="G271" s="0" t="s">
        <v>1193</v>
      </c>
      <c r="H271" s="0" t="s">
        <v>888</v>
      </c>
      <c r="I271" s="0" t="s">
        <v>1403</v>
      </c>
      <c r="J271" s="0" t="s">
        <v>874</v>
      </c>
    </row>
    <row r="272" customFormat="false" ht="15" hidden="false" customHeight="false" outlineLevel="0" collapsed="false">
      <c r="A272" s="0" t="s">
        <v>1132</v>
      </c>
      <c r="B272" s="0" t="n">
        <v>2692</v>
      </c>
      <c r="C272" s="0" t="s">
        <v>275</v>
      </c>
      <c r="E272" s="0" t="n">
        <v>5160</v>
      </c>
      <c r="F272" s="0" t="s">
        <v>1402</v>
      </c>
      <c r="G272" s="0" t="s">
        <v>1193</v>
      </c>
      <c r="H272" s="0" t="s">
        <v>888</v>
      </c>
      <c r="I272" s="0" t="s">
        <v>1403</v>
      </c>
      <c r="J272" s="0" t="s">
        <v>874</v>
      </c>
    </row>
    <row r="273" customFormat="false" ht="15" hidden="false" customHeight="false" outlineLevel="0" collapsed="false">
      <c r="A273" s="0" t="s">
        <v>1132</v>
      </c>
      <c r="B273" s="0" t="n">
        <v>3713</v>
      </c>
      <c r="C273" s="0" t="s">
        <v>277</v>
      </c>
      <c r="E273" s="0" t="n">
        <v>5100</v>
      </c>
      <c r="F273" s="0" t="s">
        <v>1404</v>
      </c>
      <c r="G273" s="0" t="s">
        <v>1137</v>
      </c>
      <c r="H273" s="0" t="s">
        <v>888</v>
      </c>
      <c r="I273" s="0" t="s">
        <v>1405</v>
      </c>
      <c r="J273" s="0" t="s">
        <v>874</v>
      </c>
    </row>
    <row r="274" customFormat="false" ht="15" hidden="false" customHeight="false" outlineLevel="0" collapsed="false">
      <c r="A274" s="0" t="s">
        <v>1132</v>
      </c>
      <c r="B274" s="0" t="n">
        <v>2678</v>
      </c>
      <c r="C274" s="0" t="s">
        <v>271</v>
      </c>
      <c r="E274" s="0" t="n">
        <v>5100</v>
      </c>
      <c r="F274" s="0" t="s">
        <v>1404</v>
      </c>
      <c r="G274" s="0" t="s">
        <v>1137</v>
      </c>
      <c r="H274" s="0" t="s">
        <v>888</v>
      </c>
      <c r="I274" s="0" t="s">
        <v>1405</v>
      </c>
      <c r="J274" s="0" t="s">
        <v>874</v>
      </c>
    </row>
    <row r="275" customFormat="false" ht="15" hidden="false" customHeight="false" outlineLevel="0" collapsed="false">
      <c r="A275" s="0" t="s">
        <v>1132</v>
      </c>
      <c r="B275" s="0" t="n">
        <v>2692</v>
      </c>
      <c r="C275" s="0" t="s">
        <v>275</v>
      </c>
      <c r="E275" s="0" t="n">
        <v>5100</v>
      </c>
      <c r="F275" s="0" t="s">
        <v>1404</v>
      </c>
      <c r="G275" s="0" t="s">
        <v>1137</v>
      </c>
      <c r="H275" s="0" t="s">
        <v>888</v>
      </c>
      <c r="I275" s="0" t="s">
        <v>1405</v>
      </c>
      <c r="J275" s="0" t="s">
        <v>874</v>
      </c>
    </row>
    <row r="276" customFormat="false" ht="15" hidden="false" customHeight="false" outlineLevel="0" collapsed="false">
      <c r="A276" s="0" t="s">
        <v>1132</v>
      </c>
      <c r="B276" s="0" t="n">
        <v>159</v>
      </c>
      <c r="C276" s="0" t="s">
        <v>293</v>
      </c>
      <c r="E276" s="0" t="n">
        <v>5111</v>
      </c>
      <c r="F276" s="0" t="s">
        <v>1406</v>
      </c>
      <c r="G276" s="0" t="s">
        <v>1134</v>
      </c>
      <c r="H276" s="0" t="s">
        <v>888</v>
      </c>
      <c r="I276" s="0" t="s">
        <v>1407</v>
      </c>
      <c r="J276" s="0" t="s">
        <v>874</v>
      </c>
    </row>
    <row r="277" customFormat="false" ht="15" hidden="false" customHeight="false" outlineLevel="0" collapsed="false">
      <c r="A277" s="0" t="s">
        <v>1132</v>
      </c>
      <c r="B277" s="0" t="n">
        <v>1179</v>
      </c>
      <c r="C277" s="0" t="s">
        <v>308</v>
      </c>
      <c r="E277" s="0" t="n">
        <v>5111</v>
      </c>
      <c r="F277" s="0" t="s">
        <v>1406</v>
      </c>
      <c r="G277" s="0" t="s">
        <v>1134</v>
      </c>
      <c r="H277" s="0" t="s">
        <v>888</v>
      </c>
      <c r="I277" s="0" t="s">
        <v>1407</v>
      </c>
      <c r="J277" s="0" t="s">
        <v>874</v>
      </c>
    </row>
    <row r="278" customFormat="false" ht="15" hidden="false" customHeight="false" outlineLevel="0" collapsed="false">
      <c r="A278" s="0" t="s">
        <v>1132</v>
      </c>
      <c r="B278" s="0" t="n">
        <v>2596</v>
      </c>
      <c r="C278" s="0" t="s">
        <v>363</v>
      </c>
      <c r="E278" s="0" t="n">
        <v>5111</v>
      </c>
      <c r="F278" s="0" t="s">
        <v>1406</v>
      </c>
      <c r="G278" s="0" t="s">
        <v>1134</v>
      </c>
      <c r="H278" s="0" t="s">
        <v>888</v>
      </c>
      <c r="I278" s="0" t="s">
        <v>1407</v>
      </c>
      <c r="J278" s="0" t="s">
        <v>874</v>
      </c>
    </row>
    <row r="279" customFormat="false" ht="15" hidden="false" customHeight="false" outlineLevel="0" collapsed="false">
      <c r="A279" s="0" t="s">
        <v>1132</v>
      </c>
      <c r="B279" s="0" t="n">
        <v>159</v>
      </c>
      <c r="C279" s="0" t="s">
        <v>293</v>
      </c>
      <c r="E279" s="0" t="n">
        <v>5112</v>
      </c>
      <c r="F279" s="0" t="s">
        <v>1408</v>
      </c>
      <c r="G279" s="0" t="s">
        <v>1190</v>
      </c>
      <c r="H279" s="0" t="s">
        <v>888</v>
      </c>
      <c r="I279" s="0" t="s">
        <v>1409</v>
      </c>
      <c r="J279" s="0" t="s">
        <v>874</v>
      </c>
    </row>
    <row r="280" customFormat="false" ht="15" hidden="false" customHeight="false" outlineLevel="0" collapsed="false">
      <c r="A280" s="0" t="s">
        <v>1132</v>
      </c>
      <c r="B280" s="0" t="n">
        <v>1179</v>
      </c>
      <c r="C280" s="0" t="s">
        <v>308</v>
      </c>
      <c r="E280" s="0" t="n">
        <v>5112</v>
      </c>
      <c r="F280" s="0" t="s">
        <v>1408</v>
      </c>
      <c r="G280" s="0" t="s">
        <v>1190</v>
      </c>
      <c r="H280" s="0" t="s">
        <v>888</v>
      </c>
      <c r="I280" s="0" t="s">
        <v>1409</v>
      </c>
      <c r="J280" s="0" t="s">
        <v>874</v>
      </c>
    </row>
    <row r="281" customFormat="false" ht="15" hidden="false" customHeight="false" outlineLevel="0" collapsed="false">
      <c r="A281" s="0" t="s">
        <v>1132</v>
      </c>
      <c r="B281" s="0" t="n">
        <v>2596</v>
      </c>
      <c r="C281" s="0" t="s">
        <v>363</v>
      </c>
      <c r="E281" s="0" t="n">
        <v>5112</v>
      </c>
      <c r="F281" s="0" t="s">
        <v>1408</v>
      </c>
      <c r="G281" s="0" t="s">
        <v>1190</v>
      </c>
      <c r="H281" s="0" t="s">
        <v>888</v>
      </c>
      <c r="I281" s="0" t="s">
        <v>1409</v>
      </c>
      <c r="J281" s="0" t="s">
        <v>874</v>
      </c>
    </row>
    <row r="282" customFormat="false" ht="15" hidden="false" customHeight="false" outlineLevel="0" collapsed="false">
      <c r="A282" s="0" t="s">
        <v>1132</v>
      </c>
      <c r="B282" s="0" t="n">
        <v>4470</v>
      </c>
      <c r="C282" s="0" t="s">
        <v>292</v>
      </c>
      <c r="E282" s="0" t="n">
        <v>5158</v>
      </c>
      <c r="F282" s="0" t="s">
        <v>1410</v>
      </c>
      <c r="G282" s="0" t="s">
        <v>1202</v>
      </c>
      <c r="H282" s="0" t="s">
        <v>888</v>
      </c>
      <c r="I282" s="0" t="s">
        <v>1411</v>
      </c>
      <c r="J282" s="0" t="s">
        <v>874</v>
      </c>
    </row>
    <row r="283" customFormat="false" ht="15" hidden="false" customHeight="false" outlineLevel="0" collapsed="false">
      <c r="A283" s="0" t="s">
        <v>1132</v>
      </c>
      <c r="B283" s="0" t="n">
        <v>17196</v>
      </c>
      <c r="C283" s="0" t="s">
        <v>309</v>
      </c>
      <c r="E283" s="0" t="n">
        <v>13433</v>
      </c>
      <c r="F283" s="0" t="s">
        <v>1096</v>
      </c>
      <c r="G283" s="0" t="s">
        <v>1210</v>
      </c>
      <c r="H283" s="0" t="s">
        <v>888</v>
      </c>
      <c r="I283" s="0" t="s">
        <v>1097</v>
      </c>
      <c r="J283" s="0" t="s">
        <v>920</v>
      </c>
    </row>
    <row r="284" customFormat="false" ht="15" hidden="false" customHeight="false" outlineLevel="0" collapsed="false">
      <c r="A284" s="0" t="s">
        <v>1132</v>
      </c>
      <c r="B284" s="0" t="n">
        <v>17194</v>
      </c>
      <c r="C284" s="0" t="s">
        <v>301</v>
      </c>
      <c r="E284" s="0" t="n">
        <v>13433</v>
      </c>
      <c r="F284" s="0" t="s">
        <v>1096</v>
      </c>
      <c r="G284" s="0" t="s">
        <v>1210</v>
      </c>
      <c r="H284" s="0" t="s">
        <v>888</v>
      </c>
      <c r="I284" s="0" t="s">
        <v>1097</v>
      </c>
      <c r="J284" s="0" t="s">
        <v>920</v>
      </c>
    </row>
    <row r="285" customFormat="false" ht="15" hidden="false" customHeight="false" outlineLevel="0" collapsed="false">
      <c r="A285" s="0" t="s">
        <v>1132</v>
      </c>
      <c r="B285" s="0" t="n">
        <v>2678</v>
      </c>
      <c r="C285" s="0" t="s">
        <v>271</v>
      </c>
      <c r="E285" s="0" t="n">
        <v>777</v>
      </c>
      <c r="F285" s="0" t="s">
        <v>1412</v>
      </c>
      <c r="G285" s="0" t="s">
        <v>1413</v>
      </c>
      <c r="H285" s="0" t="s">
        <v>891</v>
      </c>
      <c r="I285" s="0" t="s">
        <v>1414</v>
      </c>
      <c r="J285" s="0" t="s">
        <v>874</v>
      </c>
    </row>
    <row r="286" customFormat="false" ht="15" hidden="false" customHeight="false" outlineLevel="0" collapsed="false">
      <c r="A286" s="0" t="s">
        <v>1132</v>
      </c>
      <c r="B286" s="0" t="n">
        <v>2692</v>
      </c>
      <c r="C286" s="0" t="s">
        <v>275</v>
      </c>
      <c r="E286" s="0" t="n">
        <v>777</v>
      </c>
      <c r="F286" s="0" t="s">
        <v>1412</v>
      </c>
      <c r="G286" s="0" t="s">
        <v>1413</v>
      </c>
      <c r="H286" s="0" t="s">
        <v>891</v>
      </c>
      <c r="I286" s="0" t="s">
        <v>1414</v>
      </c>
      <c r="J286" s="0" t="s">
        <v>874</v>
      </c>
    </row>
    <row r="287" customFormat="false" ht="15" hidden="false" customHeight="false" outlineLevel="0" collapsed="false">
      <c r="A287" s="0" t="s">
        <v>1132</v>
      </c>
      <c r="B287" s="0" t="n">
        <v>159</v>
      </c>
      <c r="C287" s="0" t="s">
        <v>293</v>
      </c>
      <c r="E287" s="0" t="n">
        <v>6727</v>
      </c>
      <c r="F287" s="0" t="s">
        <v>1415</v>
      </c>
      <c r="G287" s="0" t="s">
        <v>1134</v>
      </c>
      <c r="H287" s="0" t="s">
        <v>891</v>
      </c>
      <c r="I287" s="0" t="s">
        <v>1416</v>
      </c>
      <c r="J287" s="0" t="s">
        <v>874</v>
      </c>
    </row>
    <row r="288" customFormat="false" ht="15" hidden="false" customHeight="false" outlineLevel="0" collapsed="false">
      <c r="A288" s="0" t="s">
        <v>1132</v>
      </c>
      <c r="B288" s="0" t="n">
        <v>1179</v>
      </c>
      <c r="C288" s="0" t="s">
        <v>308</v>
      </c>
      <c r="E288" s="0" t="n">
        <v>6727</v>
      </c>
      <c r="F288" s="0" t="s">
        <v>1415</v>
      </c>
      <c r="G288" s="0" t="s">
        <v>1134</v>
      </c>
      <c r="H288" s="0" t="s">
        <v>891</v>
      </c>
      <c r="I288" s="0" t="s">
        <v>1416</v>
      </c>
      <c r="J288" s="0" t="s">
        <v>874</v>
      </c>
    </row>
    <row r="289" customFormat="false" ht="15" hidden="false" customHeight="false" outlineLevel="0" collapsed="false">
      <c r="A289" s="0" t="s">
        <v>1132</v>
      </c>
      <c r="B289" s="0" t="n">
        <v>159</v>
      </c>
      <c r="C289" s="0" t="s">
        <v>293</v>
      </c>
      <c r="E289" s="0" t="n">
        <v>3085</v>
      </c>
      <c r="F289" s="0" t="s">
        <v>1417</v>
      </c>
      <c r="G289" s="0" t="s">
        <v>1193</v>
      </c>
      <c r="H289" s="0" t="s">
        <v>891</v>
      </c>
      <c r="I289" s="0" t="s">
        <v>1418</v>
      </c>
      <c r="J289" s="0" t="s">
        <v>874</v>
      </c>
    </row>
    <row r="290" customFormat="false" ht="15" hidden="false" customHeight="false" outlineLevel="0" collapsed="false">
      <c r="A290" s="0" t="s">
        <v>1132</v>
      </c>
      <c r="B290" s="0" t="n">
        <v>3713</v>
      </c>
      <c r="C290" s="0" t="s">
        <v>277</v>
      </c>
      <c r="E290" s="0" t="n">
        <v>3085</v>
      </c>
      <c r="F290" s="0" t="s">
        <v>1417</v>
      </c>
      <c r="G290" s="0" t="s">
        <v>1193</v>
      </c>
      <c r="H290" s="0" t="s">
        <v>891</v>
      </c>
      <c r="I290" s="0" t="s">
        <v>1418</v>
      </c>
      <c r="J290" s="0" t="s">
        <v>874</v>
      </c>
    </row>
    <row r="291" customFormat="false" ht="15" hidden="false" customHeight="false" outlineLevel="0" collapsed="false">
      <c r="A291" s="0" t="s">
        <v>1132</v>
      </c>
      <c r="B291" s="0" t="n">
        <v>2678</v>
      </c>
      <c r="C291" s="0" t="s">
        <v>271</v>
      </c>
      <c r="E291" s="0" t="n">
        <v>3085</v>
      </c>
      <c r="F291" s="0" t="s">
        <v>1417</v>
      </c>
      <c r="G291" s="0" t="s">
        <v>1193</v>
      </c>
      <c r="H291" s="0" t="s">
        <v>891</v>
      </c>
      <c r="I291" s="0" t="s">
        <v>1418</v>
      </c>
      <c r="J291" s="0" t="s">
        <v>874</v>
      </c>
    </row>
    <row r="292" customFormat="false" ht="15" hidden="false" customHeight="false" outlineLevel="0" collapsed="false">
      <c r="A292" s="0" t="s">
        <v>1132</v>
      </c>
      <c r="B292" s="0" t="n">
        <v>2692</v>
      </c>
      <c r="C292" s="0" t="s">
        <v>275</v>
      </c>
      <c r="E292" s="0" t="n">
        <v>3085</v>
      </c>
      <c r="F292" s="0" t="s">
        <v>1417</v>
      </c>
      <c r="G292" s="0" t="s">
        <v>1193</v>
      </c>
      <c r="H292" s="0" t="s">
        <v>891</v>
      </c>
      <c r="I292" s="0" t="s">
        <v>1418</v>
      </c>
      <c r="J292" s="0" t="s">
        <v>874</v>
      </c>
    </row>
    <row r="293" customFormat="false" ht="15" hidden="false" customHeight="false" outlineLevel="0" collapsed="false">
      <c r="A293" s="0" t="s">
        <v>1132</v>
      </c>
      <c r="B293" s="0" t="n">
        <v>159</v>
      </c>
      <c r="C293" s="0" t="s">
        <v>293</v>
      </c>
      <c r="E293" s="0" t="n">
        <v>3086</v>
      </c>
      <c r="F293" s="0" t="s">
        <v>1419</v>
      </c>
      <c r="G293" s="0" t="s">
        <v>1190</v>
      </c>
      <c r="H293" s="0" t="s">
        <v>891</v>
      </c>
      <c r="I293" s="0" t="s">
        <v>1420</v>
      </c>
      <c r="J293" s="0" t="s">
        <v>874</v>
      </c>
    </row>
    <row r="294" customFormat="false" ht="15" hidden="false" customHeight="false" outlineLevel="0" collapsed="false">
      <c r="A294" s="0" t="s">
        <v>1132</v>
      </c>
      <c r="B294" s="0" t="n">
        <v>1179</v>
      </c>
      <c r="C294" s="0" t="s">
        <v>308</v>
      </c>
      <c r="E294" s="0" t="n">
        <v>3086</v>
      </c>
      <c r="F294" s="0" t="s">
        <v>1419</v>
      </c>
      <c r="G294" s="0" t="s">
        <v>1190</v>
      </c>
      <c r="H294" s="0" t="s">
        <v>891</v>
      </c>
      <c r="I294" s="0" t="s">
        <v>1420</v>
      </c>
      <c r="J294" s="0" t="s">
        <v>874</v>
      </c>
    </row>
    <row r="295" customFormat="false" ht="15" hidden="false" customHeight="false" outlineLevel="0" collapsed="false">
      <c r="A295" s="0" t="s">
        <v>1132</v>
      </c>
      <c r="B295" s="0" t="n">
        <v>4536</v>
      </c>
      <c r="C295" s="0" t="s">
        <v>316</v>
      </c>
      <c r="E295" s="0" t="n">
        <v>1671</v>
      </c>
      <c r="F295" s="0" t="s">
        <v>1421</v>
      </c>
      <c r="G295" s="0" t="s">
        <v>1317</v>
      </c>
      <c r="H295" s="0" t="s">
        <v>891</v>
      </c>
      <c r="I295" s="0" t="s">
        <v>1422</v>
      </c>
      <c r="J295" s="0" t="s">
        <v>874</v>
      </c>
    </row>
    <row r="296" customFormat="false" ht="15" hidden="false" customHeight="false" outlineLevel="0" collapsed="false">
      <c r="A296" s="0" t="s">
        <v>1132</v>
      </c>
      <c r="B296" s="0" t="n">
        <v>4470</v>
      </c>
      <c r="C296" s="0" t="s">
        <v>292</v>
      </c>
      <c r="E296" s="0" t="n">
        <v>791</v>
      </c>
      <c r="F296" s="0" t="s">
        <v>1423</v>
      </c>
      <c r="G296" s="0" t="s">
        <v>1140</v>
      </c>
      <c r="H296" s="0" t="s">
        <v>891</v>
      </c>
      <c r="I296" s="0" t="s">
        <v>1424</v>
      </c>
      <c r="J296" s="0" t="s">
        <v>874</v>
      </c>
    </row>
    <row r="297" customFormat="false" ht="15" hidden="false" customHeight="false" outlineLevel="0" collapsed="false">
      <c r="A297" s="0" t="s">
        <v>1132</v>
      </c>
      <c r="B297" s="0" t="n">
        <v>159</v>
      </c>
      <c r="C297" s="0" t="s">
        <v>293</v>
      </c>
      <c r="E297" s="0" t="n">
        <v>791</v>
      </c>
      <c r="F297" s="0" t="s">
        <v>1423</v>
      </c>
      <c r="G297" s="0" t="s">
        <v>1140</v>
      </c>
      <c r="H297" s="0" t="s">
        <v>891</v>
      </c>
      <c r="I297" s="0" t="s">
        <v>1424</v>
      </c>
      <c r="J297" s="0" t="s">
        <v>874</v>
      </c>
    </row>
    <row r="298" customFormat="false" ht="15" hidden="false" customHeight="false" outlineLevel="0" collapsed="false">
      <c r="A298" s="0" t="s">
        <v>1132</v>
      </c>
      <c r="B298" s="0" t="n">
        <v>1179</v>
      </c>
      <c r="C298" s="0" t="s">
        <v>308</v>
      </c>
      <c r="E298" s="0" t="n">
        <v>791</v>
      </c>
      <c r="F298" s="0" t="s">
        <v>1423</v>
      </c>
      <c r="G298" s="0" t="s">
        <v>1140</v>
      </c>
      <c r="H298" s="0" t="s">
        <v>891</v>
      </c>
      <c r="I298" s="0" t="s">
        <v>1424</v>
      </c>
      <c r="J298" s="0" t="s">
        <v>874</v>
      </c>
    </row>
    <row r="299" customFormat="false" ht="15" hidden="false" customHeight="false" outlineLevel="0" collapsed="false">
      <c r="A299" s="0" t="s">
        <v>1132</v>
      </c>
      <c r="B299" s="0" t="n">
        <v>159</v>
      </c>
      <c r="C299" s="0" t="s">
        <v>293</v>
      </c>
      <c r="E299" s="0" t="n">
        <v>5620</v>
      </c>
      <c r="F299" s="0" t="s">
        <v>1425</v>
      </c>
      <c r="G299" s="0" t="s">
        <v>1378</v>
      </c>
      <c r="H299" s="0" t="s">
        <v>891</v>
      </c>
      <c r="I299" s="0" t="s">
        <v>1426</v>
      </c>
      <c r="J299" s="0" t="s">
        <v>874</v>
      </c>
    </row>
    <row r="300" customFormat="false" ht="15" hidden="false" customHeight="false" outlineLevel="0" collapsed="false">
      <c r="A300" s="0" t="s">
        <v>1132</v>
      </c>
      <c r="B300" s="0" t="n">
        <v>1179</v>
      </c>
      <c r="C300" s="0" t="s">
        <v>308</v>
      </c>
      <c r="E300" s="0" t="n">
        <v>5620</v>
      </c>
      <c r="F300" s="0" t="s">
        <v>1425</v>
      </c>
      <c r="G300" s="0" t="s">
        <v>1378</v>
      </c>
      <c r="H300" s="0" t="s">
        <v>891</v>
      </c>
      <c r="I300" s="0" t="s">
        <v>1426</v>
      </c>
      <c r="J300" s="0" t="s">
        <v>874</v>
      </c>
    </row>
    <row r="301" customFormat="false" ht="15" hidden="false" customHeight="false" outlineLevel="0" collapsed="false">
      <c r="A301" s="0" t="s">
        <v>1132</v>
      </c>
      <c r="B301" s="0" t="n">
        <v>2894</v>
      </c>
      <c r="C301" s="0" t="s">
        <v>307</v>
      </c>
      <c r="E301" s="0" t="n">
        <v>7744</v>
      </c>
      <c r="F301" s="0" t="s">
        <v>1427</v>
      </c>
      <c r="G301" s="0" t="s">
        <v>1134</v>
      </c>
      <c r="H301" s="0" t="s">
        <v>1428</v>
      </c>
      <c r="I301" s="0" t="s">
        <v>1429</v>
      </c>
      <c r="J301" s="0" t="s">
        <v>874</v>
      </c>
    </row>
    <row r="302" customFormat="false" ht="15" hidden="false" customHeight="false" outlineLevel="0" collapsed="false">
      <c r="A302" s="0" t="s">
        <v>1132</v>
      </c>
      <c r="B302" s="0" t="n">
        <v>159</v>
      </c>
      <c r="C302" s="0" t="s">
        <v>293</v>
      </c>
      <c r="E302" s="0" t="n">
        <v>7744</v>
      </c>
      <c r="F302" s="0" t="s">
        <v>1427</v>
      </c>
      <c r="G302" s="0" t="s">
        <v>1134</v>
      </c>
      <c r="H302" s="0" t="s">
        <v>1428</v>
      </c>
      <c r="I302" s="0" t="s">
        <v>1429</v>
      </c>
      <c r="J302" s="0" t="s">
        <v>874</v>
      </c>
    </row>
    <row r="303" customFormat="false" ht="15" hidden="false" customHeight="false" outlineLevel="0" collapsed="false">
      <c r="A303" s="0" t="s">
        <v>1132</v>
      </c>
      <c r="B303" s="0" t="n">
        <v>1179</v>
      </c>
      <c r="C303" s="0" t="s">
        <v>308</v>
      </c>
      <c r="E303" s="0" t="n">
        <v>7744</v>
      </c>
      <c r="F303" s="0" t="s">
        <v>1427</v>
      </c>
      <c r="G303" s="0" t="s">
        <v>1134</v>
      </c>
      <c r="H303" s="0" t="s">
        <v>1428</v>
      </c>
      <c r="I303" s="0" t="s">
        <v>1429</v>
      </c>
      <c r="J303" s="0" t="s">
        <v>874</v>
      </c>
    </row>
    <row r="304" customFormat="false" ht="15" hidden="false" customHeight="false" outlineLevel="0" collapsed="false">
      <c r="A304" s="0" t="s">
        <v>1132</v>
      </c>
      <c r="B304" s="0" t="n">
        <v>3713</v>
      </c>
      <c r="C304" s="0" t="s">
        <v>277</v>
      </c>
      <c r="E304" s="0" t="n">
        <v>12958</v>
      </c>
      <c r="F304" s="0" t="s">
        <v>1430</v>
      </c>
      <c r="G304" s="0" t="s">
        <v>1137</v>
      </c>
      <c r="H304" s="0" t="s">
        <v>1428</v>
      </c>
      <c r="I304" s="0" t="s">
        <v>1431</v>
      </c>
      <c r="J304" s="0" t="s">
        <v>920</v>
      </c>
    </row>
    <row r="305" customFormat="false" ht="15" hidden="false" customHeight="false" outlineLevel="0" collapsed="false">
      <c r="A305" s="0" t="s">
        <v>1132</v>
      </c>
      <c r="B305" s="0" t="n">
        <v>2678</v>
      </c>
      <c r="C305" s="0" t="s">
        <v>271</v>
      </c>
      <c r="E305" s="0" t="n">
        <v>12958</v>
      </c>
      <c r="F305" s="0" t="s">
        <v>1430</v>
      </c>
      <c r="G305" s="0" t="s">
        <v>1137</v>
      </c>
      <c r="H305" s="0" t="s">
        <v>1428</v>
      </c>
      <c r="I305" s="0" t="s">
        <v>1431</v>
      </c>
      <c r="J305" s="0" t="s">
        <v>920</v>
      </c>
    </row>
    <row r="306" customFormat="false" ht="15" hidden="false" customHeight="false" outlineLevel="0" collapsed="false">
      <c r="A306" s="0" t="s">
        <v>1132</v>
      </c>
      <c r="B306" s="0" t="n">
        <v>2692</v>
      </c>
      <c r="C306" s="0" t="s">
        <v>275</v>
      </c>
      <c r="E306" s="0" t="n">
        <v>12958</v>
      </c>
      <c r="F306" s="0" t="s">
        <v>1430</v>
      </c>
      <c r="G306" s="0" t="s">
        <v>1137</v>
      </c>
      <c r="H306" s="0" t="s">
        <v>1428</v>
      </c>
      <c r="I306" s="0" t="s">
        <v>1431</v>
      </c>
      <c r="J306" s="0" t="s">
        <v>920</v>
      </c>
    </row>
    <row r="307" customFormat="false" ht="15" hidden="false" customHeight="false" outlineLevel="0" collapsed="false">
      <c r="A307" s="0" t="s">
        <v>1132</v>
      </c>
      <c r="B307" s="0" t="n">
        <v>159</v>
      </c>
      <c r="C307" s="0" t="s">
        <v>293</v>
      </c>
      <c r="E307" s="0" t="n">
        <v>14731</v>
      </c>
      <c r="F307" s="0" t="s">
        <v>1432</v>
      </c>
      <c r="G307" s="0" t="s">
        <v>1134</v>
      </c>
      <c r="H307" s="0" t="s">
        <v>1428</v>
      </c>
      <c r="I307" s="0" t="s">
        <v>1433</v>
      </c>
      <c r="J307" s="0" t="s">
        <v>652</v>
      </c>
    </row>
    <row r="308" customFormat="false" ht="15" hidden="false" customHeight="false" outlineLevel="0" collapsed="false">
      <c r="A308" s="0" t="s">
        <v>1132</v>
      </c>
      <c r="B308" s="0" t="n">
        <v>1179</v>
      </c>
      <c r="C308" s="0" t="s">
        <v>308</v>
      </c>
      <c r="E308" s="0" t="n">
        <v>14731</v>
      </c>
      <c r="F308" s="0" t="s">
        <v>1432</v>
      </c>
      <c r="G308" s="0" t="s">
        <v>1134</v>
      </c>
      <c r="H308" s="0" t="s">
        <v>1428</v>
      </c>
      <c r="I308" s="0" t="s">
        <v>1433</v>
      </c>
      <c r="J308" s="0" t="s">
        <v>652</v>
      </c>
    </row>
    <row r="309" customFormat="false" ht="15" hidden="false" customHeight="false" outlineLevel="0" collapsed="false">
      <c r="A309" s="0" t="s">
        <v>1132</v>
      </c>
      <c r="B309" s="0" t="n">
        <v>159</v>
      </c>
      <c r="C309" s="0" t="s">
        <v>293</v>
      </c>
      <c r="E309" s="0" t="n">
        <v>14738</v>
      </c>
      <c r="F309" s="0" t="s">
        <v>1434</v>
      </c>
      <c r="G309" s="0" t="s">
        <v>1193</v>
      </c>
      <c r="H309" s="0" t="s">
        <v>1428</v>
      </c>
      <c r="I309" s="0" t="s">
        <v>1435</v>
      </c>
      <c r="J309" s="0" t="s">
        <v>652</v>
      </c>
    </row>
    <row r="310" customFormat="false" ht="15" hidden="false" customHeight="false" outlineLevel="0" collapsed="false">
      <c r="A310" s="0" t="s">
        <v>1132</v>
      </c>
      <c r="B310" s="0" t="n">
        <v>3713</v>
      </c>
      <c r="C310" s="0" t="s">
        <v>277</v>
      </c>
      <c r="E310" s="0" t="n">
        <v>14738</v>
      </c>
      <c r="F310" s="0" t="s">
        <v>1434</v>
      </c>
      <c r="G310" s="0" t="s">
        <v>1193</v>
      </c>
      <c r="H310" s="0" t="s">
        <v>1428</v>
      </c>
      <c r="I310" s="0" t="s">
        <v>1435</v>
      </c>
      <c r="J310" s="0" t="s">
        <v>652</v>
      </c>
    </row>
    <row r="311" customFormat="false" ht="15" hidden="false" customHeight="false" outlineLevel="0" collapsed="false">
      <c r="A311" s="0" t="s">
        <v>1132</v>
      </c>
      <c r="B311" s="0" t="n">
        <v>2678</v>
      </c>
      <c r="C311" s="0" t="s">
        <v>271</v>
      </c>
      <c r="E311" s="0" t="n">
        <v>14738</v>
      </c>
      <c r="F311" s="0" t="s">
        <v>1434</v>
      </c>
      <c r="G311" s="0" t="s">
        <v>1193</v>
      </c>
      <c r="H311" s="0" t="s">
        <v>1428</v>
      </c>
      <c r="I311" s="0" t="s">
        <v>1435</v>
      </c>
      <c r="J311" s="0" t="s">
        <v>652</v>
      </c>
    </row>
    <row r="312" customFormat="false" ht="15" hidden="false" customHeight="false" outlineLevel="0" collapsed="false">
      <c r="A312" s="0" t="s">
        <v>1132</v>
      </c>
      <c r="B312" s="0" t="n">
        <v>2692</v>
      </c>
      <c r="C312" s="0" t="s">
        <v>275</v>
      </c>
      <c r="E312" s="0" t="n">
        <v>14738</v>
      </c>
      <c r="F312" s="0" t="s">
        <v>1434</v>
      </c>
      <c r="G312" s="0" t="s">
        <v>1193</v>
      </c>
      <c r="H312" s="0" t="s">
        <v>1428</v>
      </c>
      <c r="I312" s="0" t="s">
        <v>1435</v>
      </c>
      <c r="J312" s="0" t="s">
        <v>652</v>
      </c>
    </row>
    <row r="313" customFormat="false" ht="15" hidden="false" customHeight="false" outlineLevel="0" collapsed="false">
      <c r="A313" s="0" t="s">
        <v>1132</v>
      </c>
      <c r="B313" s="0" t="n">
        <v>159</v>
      </c>
      <c r="C313" s="0" t="s">
        <v>293</v>
      </c>
      <c r="E313" s="0" t="n">
        <v>4782</v>
      </c>
      <c r="F313" s="0" t="s">
        <v>1436</v>
      </c>
      <c r="G313" s="0" t="s">
        <v>1175</v>
      </c>
      <c r="H313" s="0" t="s">
        <v>1428</v>
      </c>
      <c r="I313" s="0" t="s">
        <v>1437</v>
      </c>
      <c r="J313" s="0" t="s">
        <v>874</v>
      </c>
    </row>
    <row r="314" customFormat="false" ht="15" hidden="false" customHeight="false" outlineLevel="0" collapsed="false">
      <c r="A314" s="0" t="s">
        <v>1132</v>
      </c>
      <c r="B314" s="0" t="n">
        <v>1179</v>
      </c>
      <c r="C314" s="0" t="s">
        <v>308</v>
      </c>
      <c r="E314" s="0" t="n">
        <v>4782</v>
      </c>
      <c r="F314" s="0" t="s">
        <v>1436</v>
      </c>
      <c r="G314" s="0" t="s">
        <v>1175</v>
      </c>
      <c r="H314" s="0" t="s">
        <v>1428</v>
      </c>
      <c r="I314" s="0" t="s">
        <v>1437</v>
      </c>
      <c r="J314" s="0" t="s">
        <v>874</v>
      </c>
    </row>
    <row r="315" customFormat="false" ht="15" hidden="false" customHeight="false" outlineLevel="0" collapsed="false">
      <c r="A315" s="0" t="s">
        <v>1132</v>
      </c>
      <c r="B315" s="0" t="n">
        <v>4470</v>
      </c>
      <c r="C315" s="0" t="s">
        <v>292</v>
      </c>
      <c r="E315" s="0" t="n">
        <v>1452</v>
      </c>
      <c r="F315" s="0" t="s">
        <v>1438</v>
      </c>
      <c r="G315" s="0" t="s">
        <v>1140</v>
      </c>
      <c r="H315" s="0" t="s">
        <v>1039</v>
      </c>
      <c r="I315" s="0" t="s">
        <v>1439</v>
      </c>
      <c r="J315" s="0" t="s">
        <v>874</v>
      </c>
    </row>
    <row r="316" customFormat="false" ht="15" hidden="false" customHeight="false" outlineLevel="0" collapsed="false">
      <c r="A316" s="0" t="s">
        <v>1132</v>
      </c>
      <c r="B316" s="0" t="n">
        <v>159</v>
      </c>
      <c r="C316" s="0" t="s">
        <v>293</v>
      </c>
      <c r="E316" s="0" t="n">
        <v>1452</v>
      </c>
      <c r="F316" s="0" t="s">
        <v>1438</v>
      </c>
      <c r="G316" s="0" t="s">
        <v>1140</v>
      </c>
      <c r="H316" s="0" t="s">
        <v>1039</v>
      </c>
      <c r="I316" s="0" t="s">
        <v>1439</v>
      </c>
      <c r="J316" s="0" t="s">
        <v>874</v>
      </c>
    </row>
    <row r="317" customFormat="false" ht="15" hidden="false" customHeight="false" outlineLevel="0" collapsed="false">
      <c r="A317" s="0" t="s">
        <v>1132</v>
      </c>
      <c r="B317" s="0" t="n">
        <v>1179</v>
      </c>
      <c r="C317" s="0" t="s">
        <v>308</v>
      </c>
      <c r="E317" s="0" t="n">
        <v>1452</v>
      </c>
      <c r="F317" s="0" t="s">
        <v>1438</v>
      </c>
      <c r="G317" s="0" t="s">
        <v>1140</v>
      </c>
      <c r="H317" s="0" t="s">
        <v>1039</v>
      </c>
      <c r="I317" s="0" t="s">
        <v>1439</v>
      </c>
      <c r="J317" s="0" t="s">
        <v>874</v>
      </c>
    </row>
    <row r="318" customFormat="false" ht="15" hidden="false" customHeight="false" outlineLevel="0" collapsed="false">
      <c r="A318" s="0" t="s">
        <v>1132</v>
      </c>
      <c r="B318" s="0" t="n">
        <v>159</v>
      </c>
      <c r="C318" s="0" t="s">
        <v>293</v>
      </c>
      <c r="E318" s="0" t="n">
        <v>1464</v>
      </c>
      <c r="F318" s="0" t="s">
        <v>1440</v>
      </c>
      <c r="G318" s="0" t="s">
        <v>1134</v>
      </c>
      <c r="H318" s="0" t="s">
        <v>1039</v>
      </c>
      <c r="I318" s="0" t="s">
        <v>1441</v>
      </c>
      <c r="J318" s="0" t="s">
        <v>874</v>
      </c>
    </row>
    <row r="319" customFormat="false" ht="15" hidden="false" customHeight="false" outlineLevel="0" collapsed="false">
      <c r="A319" s="0" t="s">
        <v>1132</v>
      </c>
      <c r="B319" s="0" t="n">
        <v>1179</v>
      </c>
      <c r="C319" s="0" t="s">
        <v>308</v>
      </c>
      <c r="E319" s="0" t="n">
        <v>1464</v>
      </c>
      <c r="F319" s="0" t="s">
        <v>1440</v>
      </c>
      <c r="G319" s="0" t="s">
        <v>1134</v>
      </c>
      <c r="H319" s="0" t="s">
        <v>1039</v>
      </c>
      <c r="I319" s="0" t="s">
        <v>1441</v>
      </c>
      <c r="J319" s="0" t="s">
        <v>874</v>
      </c>
    </row>
    <row r="320" customFormat="false" ht="15" hidden="false" customHeight="false" outlineLevel="0" collapsed="false">
      <c r="A320" s="0" t="s">
        <v>1132</v>
      </c>
      <c r="B320" s="0" t="n">
        <v>3713</v>
      </c>
      <c r="C320" s="0" t="s">
        <v>277</v>
      </c>
      <c r="E320" s="0" t="n">
        <v>1456</v>
      </c>
      <c r="F320" s="0" t="s">
        <v>1442</v>
      </c>
      <c r="G320" s="0" t="s">
        <v>1172</v>
      </c>
      <c r="H320" s="0" t="s">
        <v>1039</v>
      </c>
      <c r="I320" s="0" t="s">
        <v>1443</v>
      </c>
      <c r="J320" s="0" t="s">
        <v>874</v>
      </c>
    </row>
    <row r="321" customFormat="false" ht="15" hidden="false" customHeight="false" outlineLevel="0" collapsed="false">
      <c r="A321" s="0" t="s">
        <v>1132</v>
      </c>
      <c r="B321" s="0" t="n">
        <v>2678</v>
      </c>
      <c r="C321" s="0" t="s">
        <v>271</v>
      </c>
      <c r="E321" s="0" t="n">
        <v>1456</v>
      </c>
      <c r="F321" s="0" t="s">
        <v>1442</v>
      </c>
      <c r="G321" s="0" t="s">
        <v>1172</v>
      </c>
      <c r="H321" s="0" t="s">
        <v>1039</v>
      </c>
      <c r="I321" s="0" t="s">
        <v>1443</v>
      </c>
      <c r="J321" s="0" t="s">
        <v>874</v>
      </c>
    </row>
    <row r="322" customFormat="false" ht="15" hidden="false" customHeight="false" outlineLevel="0" collapsed="false">
      <c r="A322" s="0" t="s">
        <v>1132</v>
      </c>
      <c r="B322" s="0" t="n">
        <v>2692</v>
      </c>
      <c r="C322" s="0" t="s">
        <v>275</v>
      </c>
      <c r="E322" s="0" t="n">
        <v>1456</v>
      </c>
      <c r="F322" s="0" t="s">
        <v>1442</v>
      </c>
      <c r="G322" s="0" t="s">
        <v>1172</v>
      </c>
      <c r="H322" s="0" t="s">
        <v>1039</v>
      </c>
      <c r="I322" s="0" t="s">
        <v>1443</v>
      </c>
      <c r="J322" s="0" t="s">
        <v>874</v>
      </c>
    </row>
    <row r="323" customFormat="false" ht="15" hidden="false" customHeight="false" outlineLevel="0" collapsed="false">
      <c r="A323" s="0" t="s">
        <v>1132</v>
      </c>
      <c r="B323" s="0" t="n">
        <v>159</v>
      </c>
      <c r="C323" s="0" t="s">
        <v>293</v>
      </c>
      <c r="E323" s="0" t="n">
        <v>4963</v>
      </c>
      <c r="F323" s="0" t="s">
        <v>1444</v>
      </c>
      <c r="G323" s="0" t="s">
        <v>1175</v>
      </c>
      <c r="H323" s="0" t="s">
        <v>1039</v>
      </c>
      <c r="I323" s="0" t="s">
        <v>1445</v>
      </c>
      <c r="J323" s="0" t="s">
        <v>874</v>
      </c>
    </row>
    <row r="324" customFormat="false" ht="15" hidden="false" customHeight="false" outlineLevel="0" collapsed="false">
      <c r="A324" s="0" t="s">
        <v>1132</v>
      </c>
      <c r="B324" s="0" t="n">
        <v>1179</v>
      </c>
      <c r="C324" s="0" t="s">
        <v>308</v>
      </c>
      <c r="E324" s="0" t="n">
        <v>4963</v>
      </c>
      <c r="F324" s="0" t="s">
        <v>1444</v>
      </c>
      <c r="G324" s="0" t="s">
        <v>1175</v>
      </c>
      <c r="H324" s="0" t="s">
        <v>1039</v>
      </c>
      <c r="I324" s="0" t="s">
        <v>1445</v>
      </c>
      <c r="J324" s="0" t="s">
        <v>874</v>
      </c>
    </row>
    <row r="325" customFormat="false" ht="15" hidden="false" customHeight="false" outlineLevel="0" collapsed="false">
      <c r="A325" s="0" t="s">
        <v>1132</v>
      </c>
      <c r="B325" s="0" t="n">
        <v>4470</v>
      </c>
      <c r="C325" s="0" t="s">
        <v>292</v>
      </c>
      <c r="E325" s="0" t="n">
        <v>1448</v>
      </c>
      <c r="F325" s="0" t="s">
        <v>1446</v>
      </c>
      <c r="G325" s="0" t="s">
        <v>1447</v>
      </c>
      <c r="H325" s="0" t="s">
        <v>1039</v>
      </c>
      <c r="I325" s="0" t="s">
        <v>1448</v>
      </c>
      <c r="J325" s="0" t="s">
        <v>874</v>
      </c>
    </row>
    <row r="326" customFormat="false" ht="15" hidden="false" customHeight="false" outlineLevel="0" collapsed="false">
      <c r="A326" s="0" t="s">
        <v>1132</v>
      </c>
      <c r="B326" s="0" t="n">
        <v>159</v>
      </c>
      <c r="C326" s="0" t="s">
        <v>293</v>
      </c>
      <c r="E326" s="0" t="n">
        <v>1448</v>
      </c>
      <c r="F326" s="0" t="s">
        <v>1446</v>
      </c>
      <c r="G326" s="0" t="s">
        <v>1447</v>
      </c>
      <c r="H326" s="0" t="s">
        <v>1039</v>
      </c>
      <c r="I326" s="0" t="s">
        <v>1448</v>
      </c>
      <c r="J326" s="0" t="s">
        <v>874</v>
      </c>
    </row>
    <row r="327" customFormat="false" ht="15" hidden="false" customHeight="false" outlineLevel="0" collapsed="false">
      <c r="A327" s="0" t="s">
        <v>1132</v>
      </c>
      <c r="B327" s="0" t="n">
        <v>1179</v>
      </c>
      <c r="C327" s="0" t="s">
        <v>308</v>
      </c>
      <c r="E327" s="0" t="n">
        <v>1448</v>
      </c>
      <c r="F327" s="0" t="s">
        <v>1446</v>
      </c>
      <c r="G327" s="0" t="s">
        <v>1447</v>
      </c>
      <c r="H327" s="0" t="s">
        <v>1039</v>
      </c>
      <c r="I327" s="0" t="s">
        <v>1448</v>
      </c>
      <c r="J327" s="0" t="s">
        <v>874</v>
      </c>
    </row>
    <row r="328" customFormat="false" ht="15" hidden="false" customHeight="false" outlineLevel="0" collapsed="false">
      <c r="A328" s="0" t="s">
        <v>1132</v>
      </c>
      <c r="B328" s="0" t="n">
        <v>159</v>
      </c>
      <c r="C328" s="0" t="s">
        <v>293</v>
      </c>
      <c r="E328" s="0" t="n">
        <v>16458</v>
      </c>
      <c r="F328" s="0" t="s">
        <v>1449</v>
      </c>
      <c r="G328" s="0" t="s">
        <v>1134</v>
      </c>
      <c r="H328" s="0" t="s">
        <v>1450</v>
      </c>
      <c r="I328" s="0" t="s">
        <v>1451</v>
      </c>
      <c r="J328" s="0" t="s">
        <v>874</v>
      </c>
    </row>
    <row r="329" customFormat="false" ht="15" hidden="false" customHeight="false" outlineLevel="0" collapsed="false">
      <c r="A329" s="0" t="s">
        <v>1132</v>
      </c>
      <c r="B329" s="0" t="n">
        <v>1179</v>
      </c>
      <c r="C329" s="0" t="s">
        <v>308</v>
      </c>
      <c r="E329" s="0" t="n">
        <v>16458</v>
      </c>
      <c r="F329" s="0" t="s">
        <v>1449</v>
      </c>
      <c r="G329" s="0" t="s">
        <v>1134</v>
      </c>
      <c r="H329" s="0" t="s">
        <v>1450</v>
      </c>
      <c r="I329" s="0" t="s">
        <v>1451</v>
      </c>
      <c r="J329" s="0" t="s">
        <v>874</v>
      </c>
    </row>
    <row r="330" customFormat="false" ht="15" hidden="false" customHeight="false" outlineLevel="0" collapsed="false">
      <c r="A330" s="0" t="s">
        <v>1132</v>
      </c>
      <c r="B330" s="0" t="n">
        <v>159</v>
      </c>
      <c r="C330" s="0" t="s">
        <v>293</v>
      </c>
      <c r="E330" s="0" t="n">
        <v>7731</v>
      </c>
      <c r="F330" s="0" t="s">
        <v>1452</v>
      </c>
      <c r="G330" s="0" t="s">
        <v>1134</v>
      </c>
      <c r="H330" s="0" t="s">
        <v>1450</v>
      </c>
      <c r="I330" s="0" t="s">
        <v>1453</v>
      </c>
      <c r="J330" s="0" t="s">
        <v>652</v>
      </c>
    </row>
    <row r="331" customFormat="false" ht="15" hidden="false" customHeight="false" outlineLevel="0" collapsed="false">
      <c r="A331" s="0" t="s">
        <v>1132</v>
      </c>
      <c r="B331" s="0" t="n">
        <v>1179</v>
      </c>
      <c r="C331" s="0" t="s">
        <v>308</v>
      </c>
      <c r="E331" s="0" t="n">
        <v>7731</v>
      </c>
      <c r="F331" s="0" t="s">
        <v>1452</v>
      </c>
      <c r="G331" s="0" t="s">
        <v>1134</v>
      </c>
      <c r="H331" s="0" t="s">
        <v>1450</v>
      </c>
      <c r="I331" s="0" t="s">
        <v>1453</v>
      </c>
      <c r="J331" s="0" t="s">
        <v>652</v>
      </c>
    </row>
    <row r="332" customFormat="false" ht="15" hidden="false" customHeight="false" outlineLevel="0" collapsed="false">
      <c r="A332" s="0" t="s">
        <v>1132</v>
      </c>
      <c r="B332" s="0" t="n">
        <v>4470</v>
      </c>
      <c r="C332" s="0" t="s">
        <v>292</v>
      </c>
      <c r="E332" s="0" t="n">
        <v>4084</v>
      </c>
      <c r="F332" s="0" t="s">
        <v>1454</v>
      </c>
      <c r="G332" s="0" t="s">
        <v>1140</v>
      </c>
      <c r="H332" s="0" t="s">
        <v>1450</v>
      </c>
      <c r="I332" s="0" t="s">
        <v>1455</v>
      </c>
      <c r="J332" s="0" t="s">
        <v>874</v>
      </c>
    </row>
    <row r="333" customFormat="false" ht="15" hidden="false" customHeight="false" outlineLevel="0" collapsed="false">
      <c r="A333" s="0" t="s">
        <v>1132</v>
      </c>
      <c r="B333" s="0" t="n">
        <v>159</v>
      </c>
      <c r="C333" s="0" t="s">
        <v>293</v>
      </c>
      <c r="E333" s="0" t="n">
        <v>4084</v>
      </c>
      <c r="F333" s="0" t="s">
        <v>1454</v>
      </c>
      <c r="G333" s="0" t="s">
        <v>1140</v>
      </c>
      <c r="H333" s="0" t="s">
        <v>1450</v>
      </c>
      <c r="I333" s="0" t="s">
        <v>1455</v>
      </c>
      <c r="J333" s="0" t="s">
        <v>874</v>
      </c>
    </row>
    <row r="334" customFormat="false" ht="15" hidden="false" customHeight="false" outlineLevel="0" collapsed="false">
      <c r="A334" s="0" t="s">
        <v>1132</v>
      </c>
      <c r="B334" s="0" t="n">
        <v>1179</v>
      </c>
      <c r="C334" s="0" t="s">
        <v>308</v>
      </c>
      <c r="E334" s="0" t="n">
        <v>4084</v>
      </c>
      <c r="F334" s="0" t="s">
        <v>1454</v>
      </c>
      <c r="G334" s="0" t="s">
        <v>1140</v>
      </c>
      <c r="H334" s="0" t="s">
        <v>1450</v>
      </c>
      <c r="I334" s="0" t="s">
        <v>1455</v>
      </c>
      <c r="J334" s="0" t="s">
        <v>874</v>
      </c>
    </row>
    <row r="335" customFormat="false" ht="15" hidden="false" customHeight="false" outlineLevel="0" collapsed="false">
      <c r="A335" s="0" t="s">
        <v>1132</v>
      </c>
      <c r="B335" s="0" t="n">
        <v>159</v>
      </c>
      <c r="C335" s="0" t="s">
        <v>293</v>
      </c>
      <c r="E335" s="0" t="n">
        <v>3411</v>
      </c>
      <c r="F335" s="0" t="s">
        <v>1456</v>
      </c>
      <c r="G335" s="0" t="s">
        <v>1277</v>
      </c>
      <c r="H335" s="0" t="s">
        <v>1450</v>
      </c>
      <c r="I335" s="0" t="s">
        <v>1457</v>
      </c>
      <c r="J335" s="0" t="s">
        <v>652</v>
      </c>
    </row>
    <row r="336" customFormat="false" ht="15" hidden="false" customHeight="false" outlineLevel="0" collapsed="false">
      <c r="A336" s="0" t="s">
        <v>1132</v>
      </c>
      <c r="B336" s="0" t="n">
        <v>1179</v>
      </c>
      <c r="C336" s="0" t="s">
        <v>308</v>
      </c>
      <c r="E336" s="0" t="n">
        <v>3411</v>
      </c>
      <c r="F336" s="0" t="s">
        <v>1456</v>
      </c>
      <c r="G336" s="0" t="s">
        <v>1277</v>
      </c>
      <c r="H336" s="0" t="s">
        <v>1450</v>
      </c>
      <c r="I336" s="0" t="s">
        <v>1457</v>
      </c>
      <c r="J336" s="0" t="s">
        <v>652</v>
      </c>
    </row>
    <row r="337" customFormat="false" ht="15" hidden="false" customHeight="false" outlineLevel="0" collapsed="false">
      <c r="A337" s="0" t="s">
        <v>1132</v>
      </c>
      <c r="B337" s="0" t="n">
        <v>4470</v>
      </c>
      <c r="C337" s="0" t="s">
        <v>292</v>
      </c>
      <c r="E337" s="0" t="n">
        <v>4082</v>
      </c>
      <c r="F337" s="0" t="s">
        <v>1458</v>
      </c>
      <c r="G337" s="0" t="s">
        <v>1140</v>
      </c>
      <c r="H337" s="0" t="s">
        <v>1450</v>
      </c>
      <c r="I337" s="0" t="s">
        <v>1459</v>
      </c>
      <c r="J337" s="0" t="s">
        <v>652</v>
      </c>
    </row>
    <row r="338" customFormat="false" ht="15" hidden="false" customHeight="false" outlineLevel="0" collapsed="false">
      <c r="A338" s="0" t="s">
        <v>1132</v>
      </c>
      <c r="B338" s="0" t="n">
        <v>159</v>
      </c>
      <c r="C338" s="0" t="s">
        <v>293</v>
      </c>
      <c r="E338" s="0" t="n">
        <v>4082</v>
      </c>
      <c r="F338" s="0" t="s">
        <v>1458</v>
      </c>
      <c r="G338" s="0" t="s">
        <v>1140</v>
      </c>
      <c r="H338" s="0" t="s">
        <v>1450</v>
      </c>
      <c r="I338" s="0" t="s">
        <v>1459</v>
      </c>
      <c r="J338" s="0" t="s">
        <v>652</v>
      </c>
    </row>
    <row r="339" customFormat="false" ht="15" hidden="false" customHeight="false" outlineLevel="0" collapsed="false">
      <c r="A339" s="0" t="s">
        <v>1132</v>
      </c>
      <c r="B339" s="0" t="n">
        <v>1179</v>
      </c>
      <c r="C339" s="0" t="s">
        <v>308</v>
      </c>
      <c r="E339" s="0" t="n">
        <v>4082</v>
      </c>
      <c r="F339" s="0" t="s">
        <v>1458</v>
      </c>
      <c r="G339" s="0" t="s">
        <v>1140</v>
      </c>
      <c r="H339" s="0" t="s">
        <v>1450</v>
      </c>
      <c r="I339" s="0" t="s">
        <v>1459</v>
      </c>
      <c r="J339" s="0" t="s">
        <v>652</v>
      </c>
    </row>
    <row r="340" customFormat="false" ht="15" hidden="false" customHeight="false" outlineLevel="0" collapsed="false">
      <c r="A340" s="0" t="s">
        <v>1132</v>
      </c>
      <c r="B340" s="0" t="n">
        <v>2678</v>
      </c>
      <c r="C340" s="0" t="s">
        <v>271</v>
      </c>
      <c r="E340" s="0" t="n">
        <v>12043</v>
      </c>
      <c r="F340" s="0" t="s">
        <v>1460</v>
      </c>
      <c r="G340" s="0" t="s">
        <v>1137</v>
      </c>
      <c r="H340" s="0" t="s">
        <v>1450</v>
      </c>
      <c r="I340" s="0" t="s">
        <v>1461</v>
      </c>
      <c r="J340" s="0" t="s">
        <v>652</v>
      </c>
    </row>
    <row r="341" customFormat="false" ht="15" hidden="false" customHeight="false" outlineLevel="0" collapsed="false">
      <c r="A341" s="0" t="s">
        <v>1132</v>
      </c>
      <c r="B341" s="0" t="n">
        <v>2692</v>
      </c>
      <c r="C341" s="0" t="s">
        <v>275</v>
      </c>
      <c r="E341" s="0" t="n">
        <v>12043</v>
      </c>
      <c r="F341" s="0" t="s">
        <v>1460</v>
      </c>
      <c r="G341" s="0" t="s">
        <v>1137</v>
      </c>
      <c r="H341" s="0" t="s">
        <v>1450</v>
      </c>
      <c r="I341" s="0" t="s">
        <v>1461</v>
      </c>
      <c r="J341" s="0" t="s">
        <v>652</v>
      </c>
    </row>
    <row r="342" customFormat="false" ht="15" hidden="false" customHeight="false" outlineLevel="0" collapsed="false">
      <c r="A342" s="0" t="s">
        <v>1132</v>
      </c>
      <c r="B342" s="0" t="n">
        <v>159</v>
      </c>
      <c r="C342" s="0" t="s">
        <v>293</v>
      </c>
      <c r="E342" s="0" t="n">
        <v>7714</v>
      </c>
      <c r="F342" s="0" t="s">
        <v>1462</v>
      </c>
      <c r="G342" s="0" t="s">
        <v>1134</v>
      </c>
      <c r="H342" s="0" t="s">
        <v>895</v>
      </c>
      <c r="I342" s="0" t="s">
        <v>1463</v>
      </c>
      <c r="J342" s="0" t="s">
        <v>652</v>
      </c>
    </row>
    <row r="343" customFormat="false" ht="15" hidden="false" customHeight="false" outlineLevel="0" collapsed="false">
      <c r="A343" s="0" t="s">
        <v>1132</v>
      </c>
      <c r="B343" s="0" t="n">
        <v>1179</v>
      </c>
      <c r="C343" s="0" t="s">
        <v>308</v>
      </c>
      <c r="E343" s="0" t="n">
        <v>7714</v>
      </c>
      <c r="F343" s="0" t="s">
        <v>1462</v>
      </c>
      <c r="G343" s="0" t="s">
        <v>1134</v>
      </c>
      <c r="H343" s="0" t="s">
        <v>895</v>
      </c>
      <c r="I343" s="0" t="s">
        <v>1463</v>
      </c>
      <c r="J343" s="0" t="s">
        <v>652</v>
      </c>
    </row>
    <row r="344" customFormat="false" ht="15" hidden="false" customHeight="false" outlineLevel="0" collapsed="false">
      <c r="A344" s="0" t="s">
        <v>1132</v>
      </c>
      <c r="B344" s="0" t="n">
        <v>4536</v>
      </c>
      <c r="C344" s="0" t="s">
        <v>316</v>
      </c>
      <c r="E344" s="0" t="n">
        <v>7714</v>
      </c>
      <c r="F344" s="0" t="s">
        <v>1462</v>
      </c>
      <c r="G344" s="0" t="s">
        <v>1134</v>
      </c>
      <c r="H344" s="0" t="s">
        <v>895</v>
      </c>
      <c r="I344" s="0" t="s">
        <v>1463</v>
      </c>
      <c r="J344" s="0" t="s">
        <v>652</v>
      </c>
    </row>
    <row r="345" customFormat="false" ht="15" hidden="false" customHeight="false" outlineLevel="0" collapsed="false">
      <c r="A345" s="0" t="s">
        <v>1132</v>
      </c>
      <c r="B345" s="0" t="n">
        <v>4470</v>
      </c>
      <c r="C345" s="0" t="s">
        <v>292</v>
      </c>
      <c r="E345" s="0" t="n">
        <v>3481</v>
      </c>
      <c r="F345" s="0" t="s">
        <v>1464</v>
      </c>
      <c r="G345" s="0" t="s">
        <v>1140</v>
      </c>
      <c r="H345" s="0" t="s">
        <v>895</v>
      </c>
      <c r="I345" s="0" t="s">
        <v>1465</v>
      </c>
      <c r="J345" s="0" t="s">
        <v>652</v>
      </c>
    </row>
    <row r="346" customFormat="false" ht="15" hidden="false" customHeight="false" outlineLevel="0" collapsed="false">
      <c r="A346" s="0" t="s">
        <v>1132</v>
      </c>
      <c r="B346" s="0" t="n">
        <v>159</v>
      </c>
      <c r="C346" s="0" t="s">
        <v>293</v>
      </c>
      <c r="E346" s="0" t="n">
        <v>3481</v>
      </c>
      <c r="F346" s="0" t="s">
        <v>1464</v>
      </c>
      <c r="G346" s="0" t="s">
        <v>1140</v>
      </c>
      <c r="H346" s="0" t="s">
        <v>895</v>
      </c>
      <c r="I346" s="0" t="s">
        <v>1465</v>
      </c>
      <c r="J346" s="0" t="s">
        <v>652</v>
      </c>
    </row>
    <row r="347" customFormat="false" ht="15" hidden="false" customHeight="false" outlineLevel="0" collapsed="false">
      <c r="A347" s="0" t="s">
        <v>1132</v>
      </c>
      <c r="B347" s="0" t="n">
        <v>1179</v>
      </c>
      <c r="C347" s="0" t="s">
        <v>308</v>
      </c>
      <c r="E347" s="0" t="n">
        <v>3481</v>
      </c>
      <c r="F347" s="0" t="s">
        <v>1464</v>
      </c>
      <c r="G347" s="0" t="s">
        <v>1140</v>
      </c>
      <c r="H347" s="0" t="s">
        <v>895</v>
      </c>
      <c r="I347" s="0" t="s">
        <v>1465</v>
      </c>
      <c r="J347" s="0" t="s">
        <v>652</v>
      </c>
    </row>
    <row r="348" customFormat="false" ht="15" hidden="false" customHeight="false" outlineLevel="0" collapsed="false">
      <c r="A348" s="0" t="s">
        <v>1132</v>
      </c>
      <c r="B348" s="0" t="n">
        <v>159</v>
      </c>
      <c r="C348" s="0" t="s">
        <v>293</v>
      </c>
      <c r="E348" s="0" t="n">
        <v>3934</v>
      </c>
      <c r="F348" s="0" t="s">
        <v>1466</v>
      </c>
      <c r="G348" s="0" t="s">
        <v>1134</v>
      </c>
      <c r="H348" s="0" t="s">
        <v>895</v>
      </c>
      <c r="I348" s="0" t="s">
        <v>1467</v>
      </c>
      <c r="J348" s="0" t="s">
        <v>652</v>
      </c>
    </row>
    <row r="349" customFormat="false" ht="15" hidden="false" customHeight="false" outlineLevel="0" collapsed="false">
      <c r="A349" s="0" t="s">
        <v>1132</v>
      </c>
      <c r="B349" s="0" t="n">
        <v>1179</v>
      </c>
      <c r="C349" s="0" t="s">
        <v>308</v>
      </c>
      <c r="E349" s="0" t="n">
        <v>3934</v>
      </c>
      <c r="F349" s="0" t="s">
        <v>1466</v>
      </c>
      <c r="G349" s="0" t="s">
        <v>1134</v>
      </c>
      <c r="H349" s="0" t="s">
        <v>895</v>
      </c>
      <c r="I349" s="0" t="s">
        <v>1467</v>
      </c>
      <c r="J349" s="0" t="s">
        <v>652</v>
      </c>
    </row>
    <row r="350" customFormat="false" ht="15" hidden="false" customHeight="false" outlineLevel="0" collapsed="false">
      <c r="A350" s="0" t="s">
        <v>1132</v>
      </c>
      <c r="B350" s="0" t="n">
        <v>4536</v>
      </c>
      <c r="C350" s="0" t="s">
        <v>316</v>
      </c>
      <c r="E350" s="0" t="n">
        <v>3934</v>
      </c>
      <c r="F350" s="0" t="s">
        <v>1466</v>
      </c>
      <c r="G350" s="0" t="s">
        <v>1134</v>
      </c>
      <c r="H350" s="0" t="s">
        <v>895</v>
      </c>
      <c r="I350" s="0" t="s">
        <v>1467</v>
      </c>
      <c r="J350" s="0" t="s">
        <v>652</v>
      </c>
    </row>
    <row r="351" customFormat="false" ht="15" hidden="false" customHeight="false" outlineLevel="0" collapsed="false">
      <c r="A351" s="0" t="s">
        <v>1132</v>
      </c>
      <c r="B351" s="0" t="n">
        <v>4470</v>
      </c>
      <c r="C351" s="0" t="s">
        <v>292</v>
      </c>
      <c r="E351" s="0" t="n">
        <v>3498</v>
      </c>
      <c r="F351" s="0" t="s">
        <v>1468</v>
      </c>
      <c r="G351" s="0" t="s">
        <v>1140</v>
      </c>
      <c r="H351" s="0" t="s">
        <v>895</v>
      </c>
      <c r="I351" s="0" t="s">
        <v>1469</v>
      </c>
      <c r="J351" s="0" t="s">
        <v>920</v>
      </c>
    </row>
    <row r="352" customFormat="false" ht="15" hidden="false" customHeight="false" outlineLevel="0" collapsed="false">
      <c r="A352" s="0" t="s">
        <v>1132</v>
      </c>
      <c r="B352" s="0" t="n">
        <v>159</v>
      </c>
      <c r="C352" s="0" t="s">
        <v>293</v>
      </c>
      <c r="E352" s="0" t="n">
        <v>3498</v>
      </c>
      <c r="F352" s="0" t="s">
        <v>1468</v>
      </c>
      <c r="G352" s="0" t="s">
        <v>1140</v>
      </c>
      <c r="H352" s="0" t="s">
        <v>895</v>
      </c>
      <c r="I352" s="0" t="s">
        <v>1469</v>
      </c>
      <c r="J352" s="0" t="s">
        <v>920</v>
      </c>
    </row>
    <row r="353" customFormat="false" ht="15" hidden="false" customHeight="false" outlineLevel="0" collapsed="false">
      <c r="A353" s="0" t="s">
        <v>1132</v>
      </c>
      <c r="B353" s="0" t="n">
        <v>1179</v>
      </c>
      <c r="C353" s="0" t="s">
        <v>308</v>
      </c>
      <c r="E353" s="0" t="n">
        <v>3498</v>
      </c>
      <c r="F353" s="0" t="s">
        <v>1468</v>
      </c>
      <c r="G353" s="0" t="s">
        <v>1140</v>
      </c>
      <c r="H353" s="0" t="s">
        <v>895</v>
      </c>
      <c r="I353" s="0" t="s">
        <v>1469</v>
      </c>
      <c r="J353" s="0" t="s">
        <v>920</v>
      </c>
    </row>
    <row r="354" customFormat="false" ht="15" hidden="false" customHeight="false" outlineLevel="0" collapsed="false">
      <c r="A354" s="0" t="s">
        <v>1132</v>
      </c>
      <c r="B354" s="0" t="n">
        <v>159</v>
      </c>
      <c r="C354" s="0" t="s">
        <v>293</v>
      </c>
      <c r="E354" s="0" t="n">
        <v>5871</v>
      </c>
      <c r="F354" s="0" t="s">
        <v>1470</v>
      </c>
      <c r="G354" s="0" t="s">
        <v>1471</v>
      </c>
      <c r="H354" s="0" t="s">
        <v>895</v>
      </c>
      <c r="I354" s="0" t="s">
        <v>1472</v>
      </c>
      <c r="J354" s="0" t="s">
        <v>652</v>
      </c>
    </row>
    <row r="355" customFormat="false" ht="15" hidden="false" customHeight="false" outlineLevel="0" collapsed="false">
      <c r="A355" s="0" t="s">
        <v>1132</v>
      </c>
      <c r="B355" s="0" t="n">
        <v>1179</v>
      </c>
      <c r="C355" s="0" t="s">
        <v>308</v>
      </c>
      <c r="E355" s="0" t="n">
        <v>5871</v>
      </c>
      <c r="F355" s="0" t="s">
        <v>1470</v>
      </c>
      <c r="G355" s="0" t="s">
        <v>1471</v>
      </c>
      <c r="H355" s="0" t="s">
        <v>895</v>
      </c>
      <c r="I355" s="0" t="s">
        <v>1472</v>
      </c>
      <c r="J355" s="0" t="s">
        <v>652</v>
      </c>
    </row>
    <row r="356" customFormat="false" ht="15" hidden="false" customHeight="false" outlineLevel="0" collapsed="false">
      <c r="A356" s="0" t="s">
        <v>1132</v>
      </c>
      <c r="B356" s="0" t="n">
        <v>2596</v>
      </c>
      <c r="C356" s="0" t="s">
        <v>363</v>
      </c>
      <c r="E356" s="0" t="n">
        <v>5848</v>
      </c>
      <c r="F356" s="0" t="s">
        <v>1473</v>
      </c>
      <c r="G356" s="0" t="s">
        <v>1474</v>
      </c>
      <c r="H356" s="0" t="s">
        <v>895</v>
      </c>
      <c r="I356" s="0" t="s">
        <v>1475</v>
      </c>
      <c r="J356" s="0" t="s">
        <v>874</v>
      </c>
    </row>
    <row r="357" customFormat="false" ht="15" hidden="false" customHeight="false" outlineLevel="0" collapsed="false">
      <c r="A357" s="0" t="s">
        <v>1132</v>
      </c>
      <c r="B357" s="0" t="n">
        <v>2678</v>
      </c>
      <c r="C357" s="0" t="s">
        <v>271</v>
      </c>
      <c r="E357" s="0" t="n">
        <v>3499</v>
      </c>
      <c r="F357" s="0" t="s">
        <v>1476</v>
      </c>
      <c r="G357" s="0" t="s">
        <v>1137</v>
      </c>
      <c r="H357" s="0" t="s">
        <v>895</v>
      </c>
      <c r="I357" s="0" t="s">
        <v>1477</v>
      </c>
      <c r="J357" s="0" t="s">
        <v>920</v>
      </c>
    </row>
    <row r="358" customFormat="false" ht="15" hidden="false" customHeight="false" outlineLevel="0" collapsed="false">
      <c r="A358" s="0" t="s">
        <v>1132</v>
      </c>
      <c r="B358" s="0" t="n">
        <v>2692</v>
      </c>
      <c r="C358" s="0" t="s">
        <v>275</v>
      </c>
      <c r="E358" s="0" t="n">
        <v>3499</v>
      </c>
      <c r="F358" s="0" t="s">
        <v>1476</v>
      </c>
      <c r="G358" s="0" t="s">
        <v>1137</v>
      </c>
      <c r="H358" s="0" t="s">
        <v>895</v>
      </c>
      <c r="I358" s="0" t="s">
        <v>1477</v>
      </c>
      <c r="J358" s="0" t="s">
        <v>920</v>
      </c>
    </row>
    <row r="359" customFormat="false" ht="15" hidden="false" customHeight="false" outlineLevel="0" collapsed="false">
      <c r="A359" s="0" t="s">
        <v>1132</v>
      </c>
      <c r="B359" s="0" t="n">
        <v>159</v>
      </c>
      <c r="C359" s="0" t="s">
        <v>293</v>
      </c>
      <c r="E359" s="0" t="n">
        <v>8307</v>
      </c>
      <c r="F359" s="0" t="s">
        <v>1478</v>
      </c>
      <c r="G359" s="0" t="s">
        <v>1148</v>
      </c>
      <c r="H359" s="0" t="s">
        <v>895</v>
      </c>
      <c r="I359" s="0" t="s">
        <v>1479</v>
      </c>
      <c r="J359" s="0" t="s">
        <v>652</v>
      </c>
    </row>
    <row r="360" customFormat="false" ht="15" hidden="false" customHeight="false" outlineLevel="0" collapsed="false">
      <c r="A360" s="0" t="s">
        <v>1132</v>
      </c>
      <c r="B360" s="0" t="n">
        <v>3713</v>
      </c>
      <c r="C360" s="0" t="s">
        <v>277</v>
      </c>
      <c r="E360" s="0" t="n">
        <v>8307</v>
      </c>
      <c r="F360" s="0" t="s">
        <v>1478</v>
      </c>
      <c r="G360" s="0" t="s">
        <v>1148</v>
      </c>
      <c r="H360" s="0" t="s">
        <v>895</v>
      </c>
      <c r="I360" s="0" t="s">
        <v>1479</v>
      </c>
      <c r="J360" s="0" t="s">
        <v>652</v>
      </c>
    </row>
    <row r="361" customFormat="false" ht="15" hidden="false" customHeight="false" outlineLevel="0" collapsed="false">
      <c r="A361" s="0" t="s">
        <v>1132</v>
      </c>
      <c r="B361" s="0" t="n">
        <v>2678</v>
      </c>
      <c r="C361" s="0" t="s">
        <v>271</v>
      </c>
      <c r="E361" s="0" t="n">
        <v>8307</v>
      </c>
      <c r="F361" s="0" t="s">
        <v>1478</v>
      </c>
      <c r="G361" s="0" t="s">
        <v>1148</v>
      </c>
      <c r="H361" s="0" t="s">
        <v>895</v>
      </c>
      <c r="I361" s="0" t="s">
        <v>1479</v>
      </c>
      <c r="J361" s="0" t="s">
        <v>652</v>
      </c>
    </row>
    <row r="362" customFormat="false" ht="15" hidden="false" customHeight="false" outlineLevel="0" collapsed="false">
      <c r="A362" s="0" t="s">
        <v>1132</v>
      </c>
      <c r="B362" s="0" t="n">
        <v>2692</v>
      </c>
      <c r="C362" s="0" t="s">
        <v>275</v>
      </c>
      <c r="E362" s="0" t="n">
        <v>8307</v>
      </c>
      <c r="F362" s="0" t="s">
        <v>1478</v>
      </c>
      <c r="G362" s="0" t="s">
        <v>1148</v>
      </c>
      <c r="H362" s="0" t="s">
        <v>895</v>
      </c>
      <c r="I362" s="0" t="s">
        <v>1479</v>
      </c>
      <c r="J362" s="0" t="s">
        <v>652</v>
      </c>
    </row>
    <row r="363" customFormat="false" ht="15" hidden="false" customHeight="false" outlineLevel="0" collapsed="false">
      <c r="A363" s="0" t="s">
        <v>1132</v>
      </c>
      <c r="B363" s="0" t="n">
        <v>2678</v>
      </c>
      <c r="C363" s="0" t="s">
        <v>271</v>
      </c>
      <c r="E363" s="0" t="n">
        <v>3482</v>
      </c>
      <c r="F363" s="0" t="s">
        <v>768</v>
      </c>
      <c r="G363" s="0" t="s">
        <v>1137</v>
      </c>
      <c r="H363" s="0" t="s">
        <v>895</v>
      </c>
      <c r="I363" s="0" t="s">
        <v>1480</v>
      </c>
      <c r="J363" s="0" t="s">
        <v>652</v>
      </c>
    </row>
    <row r="364" customFormat="false" ht="15" hidden="false" customHeight="false" outlineLevel="0" collapsed="false">
      <c r="A364" s="0" t="s">
        <v>1132</v>
      </c>
      <c r="B364" s="0" t="n">
        <v>2692</v>
      </c>
      <c r="C364" s="0" t="s">
        <v>275</v>
      </c>
      <c r="E364" s="0" t="n">
        <v>3482</v>
      </c>
      <c r="F364" s="0" t="s">
        <v>768</v>
      </c>
      <c r="G364" s="0" t="s">
        <v>1137</v>
      </c>
      <c r="H364" s="0" t="s">
        <v>895</v>
      </c>
      <c r="I364" s="0" t="s">
        <v>1480</v>
      </c>
      <c r="J364" s="0" t="s">
        <v>652</v>
      </c>
    </row>
    <row r="365" customFormat="false" ht="15" hidden="false" customHeight="false" outlineLevel="0" collapsed="false">
      <c r="A365" s="0" t="s">
        <v>1132</v>
      </c>
      <c r="B365" s="0" t="n">
        <v>159</v>
      </c>
      <c r="C365" s="0" t="s">
        <v>293</v>
      </c>
      <c r="E365" s="0" t="n">
        <v>6791</v>
      </c>
      <c r="F365" s="0" t="s">
        <v>1481</v>
      </c>
      <c r="G365" s="0" t="s">
        <v>1134</v>
      </c>
      <c r="H365" s="0" t="s">
        <v>895</v>
      </c>
      <c r="I365" s="0" t="s">
        <v>1482</v>
      </c>
      <c r="J365" s="0" t="s">
        <v>920</v>
      </c>
    </row>
    <row r="366" customFormat="false" ht="15" hidden="false" customHeight="false" outlineLevel="0" collapsed="false">
      <c r="A366" s="0" t="s">
        <v>1132</v>
      </c>
      <c r="B366" s="0" t="n">
        <v>1179</v>
      </c>
      <c r="C366" s="0" t="s">
        <v>308</v>
      </c>
      <c r="E366" s="0" t="n">
        <v>6791</v>
      </c>
      <c r="F366" s="0" t="s">
        <v>1481</v>
      </c>
      <c r="G366" s="0" t="s">
        <v>1134</v>
      </c>
      <c r="H366" s="0" t="s">
        <v>895</v>
      </c>
      <c r="I366" s="0" t="s">
        <v>1482</v>
      </c>
      <c r="J366" s="0" t="s">
        <v>920</v>
      </c>
    </row>
    <row r="367" customFormat="false" ht="15" hidden="false" customHeight="false" outlineLevel="0" collapsed="false">
      <c r="A367" s="0" t="s">
        <v>1132</v>
      </c>
      <c r="B367" s="0" t="n">
        <v>2678</v>
      </c>
      <c r="C367" s="0" t="s">
        <v>271</v>
      </c>
      <c r="E367" s="0" t="n">
        <v>1465</v>
      </c>
      <c r="F367" s="0" t="s">
        <v>1483</v>
      </c>
      <c r="G367" s="0" t="s">
        <v>1172</v>
      </c>
      <c r="H367" s="0" t="s">
        <v>406</v>
      </c>
      <c r="I367" s="0" t="s">
        <v>1484</v>
      </c>
      <c r="J367" s="0" t="s">
        <v>874</v>
      </c>
    </row>
    <row r="368" customFormat="false" ht="15" hidden="false" customHeight="false" outlineLevel="0" collapsed="false">
      <c r="A368" s="0" t="s">
        <v>1132</v>
      </c>
      <c r="B368" s="0" t="n">
        <v>2692</v>
      </c>
      <c r="C368" s="0" t="s">
        <v>275</v>
      </c>
      <c r="E368" s="0" t="n">
        <v>1465</v>
      </c>
      <c r="F368" s="0" t="s">
        <v>1483</v>
      </c>
      <c r="G368" s="0" t="s">
        <v>1172</v>
      </c>
      <c r="H368" s="0" t="s">
        <v>406</v>
      </c>
      <c r="I368" s="0" t="s">
        <v>1484</v>
      </c>
      <c r="J368" s="0" t="s">
        <v>874</v>
      </c>
    </row>
    <row r="369" customFormat="false" ht="15" hidden="false" customHeight="false" outlineLevel="0" collapsed="false">
      <c r="A369" s="0" t="s">
        <v>1132</v>
      </c>
      <c r="B369" s="0" t="n">
        <v>159</v>
      </c>
      <c r="C369" s="0" t="s">
        <v>293</v>
      </c>
      <c r="E369" s="0" t="n">
        <v>6734</v>
      </c>
      <c r="F369" s="0" t="s">
        <v>1485</v>
      </c>
      <c r="G369" s="0" t="s">
        <v>1134</v>
      </c>
      <c r="H369" s="0" t="s">
        <v>406</v>
      </c>
      <c r="I369" s="0" t="s">
        <v>1486</v>
      </c>
      <c r="J369" s="0" t="s">
        <v>874</v>
      </c>
    </row>
    <row r="370" customFormat="false" ht="15" hidden="false" customHeight="false" outlineLevel="0" collapsed="false">
      <c r="A370" s="0" t="s">
        <v>1132</v>
      </c>
      <c r="B370" s="0" t="n">
        <v>1179</v>
      </c>
      <c r="C370" s="0" t="s">
        <v>308</v>
      </c>
      <c r="E370" s="0" t="n">
        <v>6734</v>
      </c>
      <c r="F370" s="0" t="s">
        <v>1485</v>
      </c>
      <c r="G370" s="0" t="s">
        <v>1134</v>
      </c>
      <c r="H370" s="0" t="s">
        <v>406</v>
      </c>
      <c r="I370" s="0" t="s">
        <v>1486</v>
      </c>
      <c r="J370" s="0" t="s">
        <v>874</v>
      </c>
    </row>
    <row r="371" customFormat="false" ht="15" hidden="false" customHeight="false" outlineLevel="0" collapsed="false">
      <c r="A371" s="0" t="s">
        <v>1132</v>
      </c>
      <c r="B371" s="0" t="n">
        <v>4470</v>
      </c>
      <c r="C371" s="0" t="s">
        <v>292</v>
      </c>
      <c r="E371" s="0" t="n">
        <v>1685</v>
      </c>
      <c r="F371" s="0" t="s">
        <v>1487</v>
      </c>
      <c r="G371" s="0" t="s">
        <v>1140</v>
      </c>
      <c r="H371" s="0" t="s">
        <v>406</v>
      </c>
      <c r="I371" s="0" t="s">
        <v>1488</v>
      </c>
      <c r="J371" s="0" t="s">
        <v>874</v>
      </c>
    </row>
    <row r="372" customFormat="false" ht="15" hidden="false" customHeight="false" outlineLevel="0" collapsed="false">
      <c r="A372" s="0" t="s">
        <v>1132</v>
      </c>
      <c r="B372" s="0" t="n">
        <v>159</v>
      </c>
      <c r="C372" s="0" t="s">
        <v>293</v>
      </c>
      <c r="E372" s="0" t="n">
        <v>1685</v>
      </c>
      <c r="F372" s="0" t="s">
        <v>1487</v>
      </c>
      <c r="G372" s="0" t="s">
        <v>1140</v>
      </c>
      <c r="H372" s="0" t="s">
        <v>406</v>
      </c>
      <c r="I372" s="0" t="s">
        <v>1488</v>
      </c>
      <c r="J372" s="0" t="s">
        <v>874</v>
      </c>
    </row>
    <row r="373" customFormat="false" ht="15" hidden="false" customHeight="false" outlineLevel="0" collapsed="false">
      <c r="A373" s="0" t="s">
        <v>1132</v>
      </c>
      <c r="B373" s="0" t="n">
        <v>1179</v>
      </c>
      <c r="C373" s="0" t="s">
        <v>308</v>
      </c>
      <c r="E373" s="0" t="n">
        <v>1685</v>
      </c>
      <c r="F373" s="0" t="s">
        <v>1487</v>
      </c>
      <c r="G373" s="0" t="s">
        <v>1140</v>
      </c>
      <c r="H373" s="0" t="s">
        <v>406</v>
      </c>
      <c r="I373" s="0" t="s">
        <v>1488</v>
      </c>
      <c r="J373" s="0" t="s">
        <v>874</v>
      </c>
    </row>
    <row r="374" customFormat="false" ht="15" hidden="false" customHeight="false" outlineLevel="0" collapsed="false">
      <c r="A374" s="0" t="s">
        <v>1132</v>
      </c>
      <c r="B374" s="0" t="n">
        <v>2894</v>
      </c>
      <c r="C374" s="0" t="s">
        <v>307</v>
      </c>
      <c r="E374" s="0" t="n">
        <v>1682</v>
      </c>
      <c r="F374" s="0" t="s">
        <v>1489</v>
      </c>
      <c r="G374" s="0" t="s">
        <v>1140</v>
      </c>
      <c r="H374" s="0" t="s">
        <v>406</v>
      </c>
      <c r="I374" s="0" t="s">
        <v>1490</v>
      </c>
      <c r="J374" s="0" t="s">
        <v>874</v>
      </c>
    </row>
    <row r="375" customFormat="false" ht="15" hidden="false" customHeight="false" outlineLevel="0" collapsed="false">
      <c r="A375" s="0" t="s">
        <v>1132</v>
      </c>
      <c r="B375" s="0" t="n">
        <v>4470</v>
      </c>
      <c r="C375" s="0" t="s">
        <v>292</v>
      </c>
      <c r="E375" s="0" t="n">
        <v>1682</v>
      </c>
      <c r="F375" s="0" t="s">
        <v>1489</v>
      </c>
      <c r="G375" s="0" t="s">
        <v>1140</v>
      </c>
      <c r="H375" s="0" t="s">
        <v>406</v>
      </c>
      <c r="I375" s="0" t="s">
        <v>1490</v>
      </c>
      <c r="J375" s="0" t="s">
        <v>874</v>
      </c>
    </row>
    <row r="376" customFormat="false" ht="15" hidden="false" customHeight="false" outlineLevel="0" collapsed="false">
      <c r="A376" s="0" t="s">
        <v>1132</v>
      </c>
      <c r="B376" s="0" t="n">
        <v>159</v>
      </c>
      <c r="C376" s="0" t="s">
        <v>293</v>
      </c>
      <c r="E376" s="0" t="n">
        <v>1682</v>
      </c>
      <c r="F376" s="0" t="s">
        <v>1489</v>
      </c>
      <c r="G376" s="0" t="s">
        <v>1140</v>
      </c>
      <c r="H376" s="0" t="s">
        <v>406</v>
      </c>
      <c r="I376" s="0" t="s">
        <v>1490</v>
      </c>
      <c r="J376" s="0" t="s">
        <v>874</v>
      </c>
    </row>
    <row r="377" customFormat="false" ht="15" hidden="false" customHeight="false" outlineLevel="0" collapsed="false">
      <c r="A377" s="0" t="s">
        <v>1132</v>
      </c>
      <c r="B377" s="0" t="n">
        <v>1179</v>
      </c>
      <c r="C377" s="0" t="s">
        <v>308</v>
      </c>
      <c r="E377" s="0" t="n">
        <v>1682</v>
      </c>
      <c r="F377" s="0" t="s">
        <v>1489</v>
      </c>
      <c r="G377" s="0" t="s">
        <v>1140</v>
      </c>
      <c r="H377" s="0" t="s">
        <v>406</v>
      </c>
      <c r="I377" s="0" t="s">
        <v>1490</v>
      </c>
      <c r="J377" s="0" t="s">
        <v>874</v>
      </c>
    </row>
    <row r="378" customFormat="false" ht="15" hidden="false" customHeight="false" outlineLevel="0" collapsed="false">
      <c r="A378" s="0" t="s">
        <v>1132</v>
      </c>
      <c r="B378" s="0" t="n">
        <v>4470</v>
      </c>
      <c r="C378" s="0" t="s">
        <v>292</v>
      </c>
      <c r="E378" s="0" t="n">
        <v>11038</v>
      </c>
      <c r="F378" s="0" t="s">
        <v>1491</v>
      </c>
      <c r="G378" s="0" t="s">
        <v>1492</v>
      </c>
      <c r="H378" s="0" t="s">
        <v>1493</v>
      </c>
      <c r="I378" s="0" t="s">
        <v>1494</v>
      </c>
      <c r="J378" s="0" t="s">
        <v>920</v>
      </c>
    </row>
    <row r="379" customFormat="false" ht="15" hidden="false" customHeight="false" outlineLevel="0" collapsed="false">
      <c r="A379" s="0" t="s">
        <v>1132</v>
      </c>
      <c r="B379" s="0" t="n">
        <v>159</v>
      </c>
      <c r="C379" s="0" t="s">
        <v>293</v>
      </c>
      <c r="E379" s="0" t="n">
        <v>11038</v>
      </c>
      <c r="F379" s="0" t="s">
        <v>1491</v>
      </c>
      <c r="G379" s="0" t="s">
        <v>1492</v>
      </c>
      <c r="H379" s="0" t="s">
        <v>1493</v>
      </c>
      <c r="I379" s="0" t="s">
        <v>1494</v>
      </c>
      <c r="J379" s="0" t="s">
        <v>920</v>
      </c>
    </row>
    <row r="380" customFormat="false" ht="15" hidden="false" customHeight="false" outlineLevel="0" collapsed="false">
      <c r="A380" s="0" t="s">
        <v>1132</v>
      </c>
      <c r="B380" s="0" t="n">
        <v>1179</v>
      </c>
      <c r="C380" s="0" t="s">
        <v>308</v>
      </c>
      <c r="E380" s="0" t="n">
        <v>11038</v>
      </c>
      <c r="F380" s="0" t="s">
        <v>1491</v>
      </c>
      <c r="G380" s="0" t="s">
        <v>1492</v>
      </c>
      <c r="H380" s="0" t="s">
        <v>1493</v>
      </c>
      <c r="I380" s="0" t="s">
        <v>1494</v>
      </c>
      <c r="J380" s="0" t="s">
        <v>920</v>
      </c>
    </row>
    <row r="381" customFormat="false" ht="15" hidden="false" customHeight="false" outlineLevel="0" collapsed="false">
      <c r="A381" s="0" t="s">
        <v>1132</v>
      </c>
      <c r="B381" s="0" t="n">
        <v>3713</v>
      </c>
      <c r="C381" s="0" t="s">
        <v>277</v>
      </c>
      <c r="E381" s="0" t="n">
        <v>12941</v>
      </c>
      <c r="F381" s="0" t="s">
        <v>1495</v>
      </c>
      <c r="G381" s="0" t="s">
        <v>1137</v>
      </c>
      <c r="H381" s="0" t="s">
        <v>1493</v>
      </c>
      <c r="I381" s="0" t="s">
        <v>1496</v>
      </c>
      <c r="J381" s="0" t="s">
        <v>920</v>
      </c>
    </row>
    <row r="382" customFormat="false" ht="15" hidden="false" customHeight="false" outlineLevel="0" collapsed="false">
      <c r="A382" s="0" t="s">
        <v>1132</v>
      </c>
      <c r="B382" s="0" t="n">
        <v>2678</v>
      </c>
      <c r="C382" s="0" t="s">
        <v>271</v>
      </c>
      <c r="E382" s="0" t="n">
        <v>12941</v>
      </c>
      <c r="F382" s="0" t="s">
        <v>1495</v>
      </c>
      <c r="G382" s="0" t="s">
        <v>1137</v>
      </c>
      <c r="H382" s="0" t="s">
        <v>1493</v>
      </c>
      <c r="I382" s="0" t="s">
        <v>1496</v>
      </c>
      <c r="J382" s="0" t="s">
        <v>920</v>
      </c>
    </row>
    <row r="383" customFormat="false" ht="15" hidden="false" customHeight="false" outlineLevel="0" collapsed="false">
      <c r="A383" s="0" t="s">
        <v>1132</v>
      </c>
      <c r="B383" s="0" t="n">
        <v>2692</v>
      </c>
      <c r="C383" s="0" t="s">
        <v>275</v>
      </c>
      <c r="E383" s="0" t="n">
        <v>12941</v>
      </c>
      <c r="F383" s="0" t="s">
        <v>1495</v>
      </c>
      <c r="G383" s="0" t="s">
        <v>1137</v>
      </c>
      <c r="H383" s="0" t="s">
        <v>1493</v>
      </c>
      <c r="I383" s="0" t="s">
        <v>1496</v>
      </c>
      <c r="J383" s="0" t="s">
        <v>920</v>
      </c>
    </row>
    <row r="384" customFormat="false" ht="15" hidden="false" customHeight="false" outlineLevel="0" collapsed="false">
      <c r="A384" s="0" t="s">
        <v>1132</v>
      </c>
      <c r="B384" s="0" t="n">
        <v>159</v>
      </c>
      <c r="C384" s="0" t="s">
        <v>293</v>
      </c>
      <c r="E384" s="0" t="n">
        <v>16256</v>
      </c>
      <c r="F384" s="0" t="s">
        <v>1497</v>
      </c>
      <c r="G384" s="0" t="s">
        <v>1134</v>
      </c>
      <c r="H384" s="0" t="s">
        <v>1493</v>
      </c>
      <c r="I384" s="0" t="s">
        <v>1498</v>
      </c>
      <c r="J384" s="0" t="s">
        <v>920</v>
      </c>
    </row>
    <row r="385" customFormat="false" ht="15" hidden="false" customHeight="false" outlineLevel="0" collapsed="false">
      <c r="A385" s="0" t="s">
        <v>1132</v>
      </c>
      <c r="B385" s="0" t="n">
        <v>1179</v>
      </c>
      <c r="C385" s="0" t="s">
        <v>308</v>
      </c>
      <c r="E385" s="0" t="n">
        <v>16256</v>
      </c>
      <c r="F385" s="0" t="s">
        <v>1497</v>
      </c>
      <c r="G385" s="0" t="s">
        <v>1134</v>
      </c>
      <c r="H385" s="0" t="s">
        <v>1493</v>
      </c>
      <c r="I385" s="0" t="s">
        <v>1498</v>
      </c>
      <c r="J385" s="0" t="s">
        <v>920</v>
      </c>
    </row>
    <row r="386" customFormat="false" ht="15" hidden="false" customHeight="false" outlineLevel="0" collapsed="false">
      <c r="A386" s="0" t="s">
        <v>1132</v>
      </c>
      <c r="B386" s="0" t="n">
        <v>159</v>
      </c>
      <c r="C386" s="0" t="s">
        <v>293</v>
      </c>
      <c r="E386" s="0" t="n">
        <v>11287</v>
      </c>
      <c r="F386" s="0" t="s">
        <v>1499</v>
      </c>
      <c r="H386" s="0" t="s">
        <v>1500</v>
      </c>
      <c r="I386" s="0" t="s">
        <v>1501</v>
      </c>
      <c r="J386" s="0" t="s">
        <v>920</v>
      </c>
    </row>
    <row r="387" customFormat="false" ht="15" hidden="false" customHeight="false" outlineLevel="0" collapsed="false">
      <c r="A387" s="0" t="s">
        <v>1132</v>
      </c>
      <c r="B387" s="0" t="n">
        <v>1179</v>
      </c>
      <c r="C387" s="0" t="s">
        <v>308</v>
      </c>
      <c r="E387" s="0" t="n">
        <v>11287</v>
      </c>
      <c r="F387" s="0" t="s">
        <v>1499</v>
      </c>
      <c r="H387" s="0" t="s">
        <v>1500</v>
      </c>
      <c r="I387" s="0" t="s">
        <v>1501</v>
      </c>
      <c r="J387" s="0" t="s">
        <v>920</v>
      </c>
    </row>
    <row r="388" customFormat="false" ht="15" hidden="false" customHeight="false" outlineLevel="0" collapsed="false">
      <c r="A388" s="0" t="s">
        <v>1132</v>
      </c>
      <c r="B388" s="0" t="n">
        <v>3713</v>
      </c>
      <c r="C388" s="0" t="s">
        <v>277</v>
      </c>
      <c r="E388" s="0" t="n">
        <v>989</v>
      </c>
      <c r="F388" s="0" t="s">
        <v>1502</v>
      </c>
      <c r="G388" s="0" t="s">
        <v>1137</v>
      </c>
      <c r="H388" s="0" t="s">
        <v>1503</v>
      </c>
      <c r="I388" s="0" t="s">
        <v>1504</v>
      </c>
      <c r="J388" s="0" t="s">
        <v>652</v>
      </c>
    </row>
    <row r="389" customFormat="false" ht="15" hidden="false" customHeight="false" outlineLevel="0" collapsed="false">
      <c r="A389" s="0" t="s">
        <v>1132</v>
      </c>
      <c r="B389" s="0" t="n">
        <v>2678</v>
      </c>
      <c r="C389" s="0" t="s">
        <v>271</v>
      </c>
      <c r="E389" s="0" t="n">
        <v>989</v>
      </c>
      <c r="F389" s="0" t="s">
        <v>1502</v>
      </c>
      <c r="G389" s="0" t="s">
        <v>1137</v>
      </c>
      <c r="H389" s="0" t="s">
        <v>1503</v>
      </c>
      <c r="I389" s="0" t="s">
        <v>1504</v>
      </c>
      <c r="J389" s="0" t="s">
        <v>652</v>
      </c>
    </row>
    <row r="390" customFormat="false" ht="15" hidden="false" customHeight="false" outlineLevel="0" collapsed="false">
      <c r="A390" s="0" t="s">
        <v>1132</v>
      </c>
      <c r="B390" s="0" t="n">
        <v>2692</v>
      </c>
      <c r="C390" s="0" t="s">
        <v>275</v>
      </c>
      <c r="E390" s="0" t="n">
        <v>989</v>
      </c>
      <c r="F390" s="0" t="s">
        <v>1502</v>
      </c>
      <c r="G390" s="0" t="s">
        <v>1137</v>
      </c>
      <c r="H390" s="0" t="s">
        <v>1503</v>
      </c>
      <c r="I390" s="0" t="s">
        <v>1504</v>
      </c>
      <c r="J390" s="0" t="s">
        <v>652</v>
      </c>
    </row>
    <row r="391" customFormat="false" ht="15" hidden="false" customHeight="false" outlineLevel="0" collapsed="false">
      <c r="A391" s="0" t="s">
        <v>1132</v>
      </c>
      <c r="B391" s="0" t="n">
        <v>159</v>
      </c>
      <c r="C391" s="0" t="s">
        <v>293</v>
      </c>
      <c r="E391" s="0" t="n">
        <v>6930</v>
      </c>
      <c r="F391" s="0" t="s">
        <v>1505</v>
      </c>
      <c r="G391" s="0" t="s">
        <v>1134</v>
      </c>
      <c r="H391" s="0" t="s">
        <v>1503</v>
      </c>
      <c r="I391" s="0" t="s">
        <v>1506</v>
      </c>
      <c r="J391" s="0" t="s">
        <v>652</v>
      </c>
    </row>
    <row r="392" customFormat="false" ht="15" hidden="false" customHeight="false" outlineLevel="0" collapsed="false">
      <c r="A392" s="0" t="s">
        <v>1132</v>
      </c>
      <c r="B392" s="0" t="n">
        <v>1179</v>
      </c>
      <c r="C392" s="0" t="s">
        <v>308</v>
      </c>
      <c r="E392" s="0" t="n">
        <v>6930</v>
      </c>
      <c r="F392" s="0" t="s">
        <v>1505</v>
      </c>
      <c r="G392" s="0" t="s">
        <v>1134</v>
      </c>
      <c r="H392" s="0" t="s">
        <v>1503</v>
      </c>
      <c r="I392" s="0" t="s">
        <v>1506</v>
      </c>
      <c r="J392" s="0" t="s">
        <v>652</v>
      </c>
    </row>
    <row r="393" customFormat="false" ht="15" hidden="false" customHeight="false" outlineLevel="0" collapsed="false">
      <c r="A393" s="0" t="s">
        <v>1132</v>
      </c>
      <c r="B393" s="0" t="n">
        <v>159</v>
      </c>
      <c r="C393" s="0" t="s">
        <v>293</v>
      </c>
      <c r="E393" s="0" t="n">
        <v>982</v>
      </c>
      <c r="F393" s="0" t="s">
        <v>1507</v>
      </c>
      <c r="G393" s="0" t="s">
        <v>1145</v>
      </c>
      <c r="H393" s="0" t="s">
        <v>1503</v>
      </c>
      <c r="I393" s="0" t="s">
        <v>1508</v>
      </c>
      <c r="J393" s="0" t="s">
        <v>652</v>
      </c>
    </row>
    <row r="394" customFormat="false" ht="15" hidden="false" customHeight="false" outlineLevel="0" collapsed="false">
      <c r="A394" s="0" t="s">
        <v>1132</v>
      </c>
      <c r="B394" s="0" t="n">
        <v>1179</v>
      </c>
      <c r="C394" s="0" t="s">
        <v>308</v>
      </c>
      <c r="E394" s="0" t="n">
        <v>982</v>
      </c>
      <c r="F394" s="0" t="s">
        <v>1507</v>
      </c>
      <c r="G394" s="0" t="s">
        <v>1145</v>
      </c>
      <c r="H394" s="0" t="s">
        <v>1503</v>
      </c>
      <c r="I394" s="0" t="s">
        <v>1508</v>
      </c>
      <c r="J394" s="0" t="s">
        <v>652</v>
      </c>
    </row>
    <row r="395" customFormat="false" ht="15" hidden="false" customHeight="false" outlineLevel="0" collapsed="false">
      <c r="A395" s="0" t="s">
        <v>1132</v>
      </c>
      <c r="B395" s="0" t="n">
        <v>159</v>
      </c>
      <c r="C395" s="0" t="s">
        <v>293</v>
      </c>
      <c r="E395" s="0" t="n">
        <v>8931</v>
      </c>
      <c r="F395" s="0" t="s">
        <v>1509</v>
      </c>
      <c r="G395" s="0" t="s">
        <v>1134</v>
      </c>
      <c r="H395" s="0" t="s">
        <v>983</v>
      </c>
      <c r="I395" s="0" t="s">
        <v>1510</v>
      </c>
      <c r="J395" s="0" t="s">
        <v>874</v>
      </c>
    </row>
    <row r="396" customFormat="false" ht="15" hidden="false" customHeight="false" outlineLevel="0" collapsed="false">
      <c r="A396" s="0" t="s">
        <v>1132</v>
      </c>
      <c r="B396" s="0" t="n">
        <v>1179</v>
      </c>
      <c r="C396" s="0" t="s">
        <v>308</v>
      </c>
      <c r="E396" s="0" t="n">
        <v>8931</v>
      </c>
      <c r="F396" s="0" t="s">
        <v>1509</v>
      </c>
      <c r="G396" s="0" t="s">
        <v>1134</v>
      </c>
      <c r="H396" s="0" t="s">
        <v>983</v>
      </c>
      <c r="I396" s="0" t="s">
        <v>1510</v>
      </c>
      <c r="J396" s="0" t="s">
        <v>874</v>
      </c>
    </row>
    <row r="397" customFormat="false" ht="15" hidden="false" customHeight="false" outlineLevel="0" collapsed="false">
      <c r="A397" s="0" t="s">
        <v>1132</v>
      </c>
      <c r="B397" s="0" t="n">
        <v>3713</v>
      </c>
      <c r="C397" s="0" t="s">
        <v>277</v>
      </c>
      <c r="E397" s="0" t="n">
        <v>8934</v>
      </c>
      <c r="F397" s="0" t="s">
        <v>1511</v>
      </c>
      <c r="G397" s="0" t="s">
        <v>1512</v>
      </c>
      <c r="H397" s="0" t="s">
        <v>983</v>
      </c>
      <c r="I397" s="0" t="s">
        <v>1513</v>
      </c>
      <c r="J397" s="0" t="s">
        <v>874</v>
      </c>
    </row>
    <row r="398" customFormat="false" ht="15" hidden="false" customHeight="false" outlineLevel="0" collapsed="false">
      <c r="A398" s="0" t="s">
        <v>1132</v>
      </c>
      <c r="B398" s="0" t="n">
        <v>2678</v>
      </c>
      <c r="C398" s="0" t="s">
        <v>271</v>
      </c>
      <c r="E398" s="0" t="n">
        <v>8934</v>
      </c>
      <c r="F398" s="0" t="s">
        <v>1511</v>
      </c>
      <c r="G398" s="0" t="s">
        <v>1512</v>
      </c>
      <c r="H398" s="0" t="s">
        <v>983</v>
      </c>
      <c r="I398" s="0" t="s">
        <v>1513</v>
      </c>
      <c r="J398" s="0" t="s">
        <v>874</v>
      </c>
    </row>
    <row r="399" customFormat="false" ht="15" hidden="false" customHeight="false" outlineLevel="0" collapsed="false">
      <c r="A399" s="0" t="s">
        <v>1132</v>
      </c>
      <c r="B399" s="0" t="n">
        <v>2692</v>
      </c>
      <c r="C399" s="0" t="s">
        <v>275</v>
      </c>
      <c r="E399" s="0" t="n">
        <v>8934</v>
      </c>
      <c r="F399" s="0" t="s">
        <v>1511</v>
      </c>
      <c r="G399" s="0" t="s">
        <v>1512</v>
      </c>
      <c r="H399" s="0" t="s">
        <v>983</v>
      </c>
      <c r="I399" s="0" t="s">
        <v>1513</v>
      </c>
      <c r="J399" s="0" t="s">
        <v>874</v>
      </c>
    </row>
    <row r="400" customFormat="false" ht="15" hidden="false" customHeight="false" outlineLevel="0" collapsed="false">
      <c r="A400" s="0" t="s">
        <v>1132</v>
      </c>
      <c r="B400" s="0" t="n">
        <v>2678</v>
      </c>
      <c r="C400" s="0" t="s">
        <v>271</v>
      </c>
      <c r="E400" s="0" t="n">
        <v>843</v>
      </c>
      <c r="F400" s="0" t="s">
        <v>1514</v>
      </c>
      <c r="G400" s="0" t="s">
        <v>1137</v>
      </c>
      <c r="H400" s="0" t="s">
        <v>983</v>
      </c>
      <c r="I400" s="0" t="s">
        <v>1515</v>
      </c>
      <c r="J400" s="0" t="s">
        <v>874</v>
      </c>
    </row>
    <row r="401" customFormat="false" ht="15" hidden="false" customHeight="false" outlineLevel="0" collapsed="false">
      <c r="A401" s="0" t="s">
        <v>1132</v>
      </c>
      <c r="B401" s="0" t="n">
        <v>2692</v>
      </c>
      <c r="C401" s="0" t="s">
        <v>275</v>
      </c>
      <c r="E401" s="0" t="n">
        <v>843</v>
      </c>
      <c r="F401" s="0" t="s">
        <v>1514</v>
      </c>
      <c r="G401" s="0" t="s">
        <v>1137</v>
      </c>
      <c r="H401" s="0" t="s">
        <v>983</v>
      </c>
      <c r="I401" s="0" t="s">
        <v>1515</v>
      </c>
      <c r="J401" s="0" t="s">
        <v>874</v>
      </c>
    </row>
    <row r="402" customFormat="false" ht="15" hidden="false" customHeight="false" outlineLevel="0" collapsed="false">
      <c r="A402" s="0" t="s">
        <v>1132</v>
      </c>
      <c r="B402" s="0" t="n">
        <v>4470</v>
      </c>
      <c r="C402" s="0" t="s">
        <v>292</v>
      </c>
      <c r="E402" s="0" t="n">
        <v>491</v>
      </c>
      <c r="F402" s="0" t="s">
        <v>1516</v>
      </c>
      <c r="G402" s="0" t="s">
        <v>1517</v>
      </c>
      <c r="H402" s="0" t="s">
        <v>983</v>
      </c>
      <c r="I402" s="0" t="s">
        <v>1518</v>
      </c>
      <c r="J402" s="0" t="s">
        <v>874</v>
      </c>
    </row>
    <row r="403" customFormat="false" ht="15" hidden="false" customHeight="false" outlineLevel="0" collapsed="false">
      <c r="A403" s="0" t="s">
        <v>1132</v>
      </c>
      <c r="B403" s="0" t="n">
        <v>159</v>
      </c>
      <c r="C403" s="0" t="s">
        <v>293</v>
      </c>
      <c r="E403" s="0" t="n">
        <v>491</v>
      </c>
      <c r="F403" s="0" t="s">
        <v>1516</v>
      </c>
      <c r="G403" s="0" t="s">
        <v>1517</v>
      </c>
      <c r="H403" s="0" t="s">
        <v>983</v>
      </c>
      <c r="I403" s="0" t="s">
        <v>1518</v>
      </c>
      <c r="J403" s="0" t="s">
        <v>874</v>
      </c>
    </row>
    <row r="404" customFormat="false" ht="15" hidden="false" customHeight="false" outlineLevel="0" collapsed="false">
      <c r="A404" s="0" t="s">
        <v>1132</v>
      </c>
      <c r="B404" s="0" t="n">
        <v>1179</v>
      </c>
      <c r="C404" s="0" t="s">
        <v>308</v>
      </c>
      <c r="E404" s="0" t="n">
        <v>491</v>
      </c>
      <c r="F404" s="0" t="s">
        <v>1516</v>
      </c>
      <c r="G404" s="0" t="s">
        <v>1517</v>
      </c>
      <c r="H404" s="0" t="s">
        <v>983</v>
      </c>
      <c r="I404" s="0" t="s">
        <v>1518</v>
      </c>
      <c r="J404" s="0" t="s">
        <v>874</v>
      </c>
    </row>
    <row r="405" customFormat="false" ht="15" hidden="false" customHeight="false" outlineLevel="0" collapsed="false">
      <c r="A405" s="0" t="s">
        <v>1132</v>
      </c>
      <c r="B405" s="0" t="n">
        <v>4470</v>
      </c>
      <c r="C405" s="0" t="s">
        <v>292</v>
      </c>
      <c r="E405" s="0" t="n">
        <v>4896</v>
      </c>
      <c r="F405" s="0" t="s">
        <v>1519</v>
      </c>
      <c r="G405" s="0" t="s">
        <v>1140</v>
      </c>
      <c r="H405" s="0" t="s">
        <v>1066</v>
      </c>
      <c r="I405" s="0" t="s">
        <v>1520</v>
      </c>
      <c r="J405" s="0" t="s">
        <v>874</v>
      </c>
    </row>
    <row r="406" customFormat="false" ht="15" hidden="false" customHeight="false" outlineLevel="0" collapsed="false">
      <c r="A406" s="0" t="s">
        <v>1132</v>
      </c>
      <c r="B406" s="0" t="n">
        <v>159</v>
      </c>
      <c r="C406" s="0" t="s">
        <v>293</v>
      </c>
      <c r="E406" s="0" t="n">
        <v>4896</v>
      </c>
      <c r="F406" s="0" t="s">
        <v>1519</v>
      </c>
      <c r="G406" s="0" t="s">
        <v>1140</v>
      </c>
      <c r="H406" s="0" t="s">
        <v>1066</v>
      </c>
      <c r="I406" s="0" t="s">
        <v>1520</v>
      </c>
      <c r="J406" s="0" t="s">
        <v>874</v>
      </c>
    </row>
    <row r="407" customFormat="false" ht="15" hidden="false" customHeight="false" outlineLevel="0" collapsed="false">
      <c r="A407" s="0" t="s">
        <v>1132</v>
      </c>
      <c r="B407" s="0" t="n">
        <v>4536</v>
      </c>
      <c r="C407" s="0" t="s">
        <v>316</v>
      </c>
      <c r="E407" s="0" t="n">
        <v>4891</v>
      </c>
      <c r="F407" s="0" t="s">
        <v>1521</v>
      </c>
      <c r="G407" s="0" t="s">
        <v>1522</v>
      </c>
      <c r="H407" s="0" t="s">
        <v>1066</v>
      </c>
      <c r="I407" s="0" t="s">
        <v>1523</v>
      </c>
      <c r="J407" s="0" t="s">
        <v>874</v>
      </c>
    </row>
    <row r="408" customFormat="false" ht="15" hidden="false" customHeight="false" outlineLevel="0" collapsed="false">
      <c r="A408" s="0" t="s">
        <v>1132</v>
      </c>
      <c r="B408" s="0" t="n">
        <v>3713</v>
      </c>
      <c r="C408" s="0" t="s">
        <v>277</v>
      </c>
      <c r="E408" s="0" t="n">
        <v>4897</v>
      </c>
      <c r="F408" s="0" t="s">
        <v>1524</v>
      </c>
      <c r="G408" s="0" t="s">
        <v>1137</v>
      </c>
      <c r="H408" s="0" t="s">
        <v>1066</v>
      </c>
      <c r="I408" s="0" t="s">
        <v>1525</v>
      </c>
      <c r="J408" s="0" t="s">
        <v>874</v>
      </c>
    </row>
    <row r="409" customFormat="false" ht="15" hidden="false" customHeight="false" outlineLevel="0" collapsed="false">
      <c r="A409" s="0" t="s">
        <v>1132</v>
      </c>
      <c r="B409" s="0" t="n">
        <v>2678</v>
      </c>
      <c r="C409" s="0" t="s">
        <v>271</v>
      </c>
      <c r="E409" s="0" t="n">
        <v>4897</v>
      </c>
      <c r="F409" s="0" t="s">
        <v>1524</v>
      </c>
      <c r="G409" s="0" t="s">
        <v>1137</v>
      </c>
      <c r="H409" s="0" t="s">
        <v>1066</v>
      </c>
      <c r="I409" s="0" t="s">
        <v>1525</v>
      </c>
      <c r="J409" s="0" t="s">
        <v>874</v>
      </c>
    </row>
    <row r="410" customFormat="false" ht="15" hidden="false" customHeight="false" outlineLevel="0" collapsed="false">
      <c r="A410" s="0" t="s">
        <v>1132</v>
      </c>
      <c r="B410" s="0" t="n">
        <v>2692</v>
      </c>
      <c r="C410" s="0" t="s">
        <v>275</v>
      </c>
      <c r="E410" s="0" t="n">
        <v>4897</v>
      </c>
      <c r="F410" s="0" t="s">
        <v>1524</v>
      </c>
      <c r="G410" s="0" t="s">
        <v>1137</v>
      </c>
      <c r="H410" s="0" t="s">
        <v>1066</v>
      </c>
      <c r="I410" s="0" t="s">
        <v>1525</v>
      </c>
      <c r="J410" s="0" t="s">
        <v>874</v>
      </c>
    </row>
    <row r="411" customFormat="false" ht="15" hidden="false" customHeight="false" outlineLevel="0" collapsed="false">
      <c r="A411" s="0" t="s">
        <v>1132</v>
      </c>
      <c r="B411" s="0" t="n">
        <v>159</v>
      </c>
      <c r="C411" s="0" t="s">
        <v>293</v>
      </c>
      <c r="E411" s="0" t="n">
        <v>6272</v>
      </c>
      <c r="F411" s="0" t="s">
        <v>1526</v>
      </c>
      <c r="G411" s="0" t="s">
        <v>1134</v>
      </c>
      <c r="H411" s="0" t="s">
        <v>1066</v>
      </c>
      <c r="I411" s="0" t="s">
        <v>1527</v>
      </c>
      <c r="J411" s="0" t="s">
        <v>874</v>
      </c>
    </row>
    <row r="412" customFormat="false" ht="15" hidden="false" customHeight="false" outlineLevel="0" collapsed="false">
      <c r="A412" s="0" t="s">
        <v>1132</v>
      </c>
      <c r="B412" s="0" t="n">
        <v>1179</v>
      </c>
      <c r="C412" s="0" t="s">
        <v>308</v>
      </c>
      <c r="E412" s="0" t="n">
        <v>6272</v>
      </c>
      <c r="F412" s="0" t="s">
        <v>1526</v>
      </c>
      <c r="G412" s="0" t="s">
        <v>1134</v>
      </c>
      <c r="H412" s="0" t="s">
        <v>1066</v>
      </c>
      <c r="I412" s="0" t="s">
        <v>1527</v>
      </c>
      <c r="J412" s="0" t="s">
        <v>874</v>
      </c>
    </row>
    <row r="413" customFormat="false" ht="15" hidden="false" customHeight="false" outlineLevel="0" collapsed="false">
      <c r="A413" s="0" t="s">
        <v>1132</v>
      </c>
      <c r="B413" s="0" t="n">
        <v>159</v>
      </c>
      <c r="C413" s="0" t="s">
        <v>293</v>
      </c>
      <c r="E413" s="0" t="n">
        <v>4879</v>
      </c>
      <c r="F413" s="0" t="s">
        <v>791</v>
      </c>
      <c r="G413" s="0" t="s">
        <v>1277</v>
      </c>
      <c r="H413" s="0" t="s">
        <v>1066</v>
      </c>
      <c r="I413" s="0" t="s">
        <v>1528</v>
      </c>
      <c r="J413" s="0" t="s">
        <v>652</v>
      </c>
    </row>
    <row r="414" customFormat="false" ht="15" hidden="false" customHeight="false" outlineLevel="0" collapsed="false">
      <c r="A414" s="0" t="s">
        <v>1132</v>
      </c>
      <c r="B414" s="0" t="n">
        <v>1179</v>
      </c>
      <c r="C414" s="0" t="s">
        <v>308</v>
      </c>
      <c r="E414" s="0" t="n">
        <v>4879</v>
      </c>
      <c r="F414" s="0" t="s">
        <v>791</v>
      </c>
      <c r="G414" s="0" t="s">
        <v>1277</v>
      </c>
      <c r="H414" s="0" t="s">
        <v>1066</v>
      </c>
      <c r="I414" s="0" t="s">
        <v>1528</v>
      </c>
      <c r="J414" s="0" t="s">
        <v>652</v>
      </c>
    </row>
    <row r="415" customFormat="false" ht="15" hidden="false" customHeight="false" outlineLevel="0" collapsed="false">
      <c r="A415" s="0" t="s">
        <v>1132</v>
      </c>
      <c r="B415" s="0" t="n">
        <v>159</v>
      </c>
      <c r="C415" s="0" t="s">
        <v>293</v>
      </c>
      <c r="E415" s="0" t="n">
        <v>4893</v>
      </c>
      <c r="F415" s="0" t="s">
        <v>1529</v>
      </c>
      <c r="G415" s="0" t="s">
        <v>1530</v>
      </c>
      <c r="H415" s="0" t="s">
        <v>1066</v>
      </c>
      <c r="I415" s="0" t="s">
        <v>1531</v>
      </c>
      <c r="J415" s="0" t="s">
        <v>874</v>
      </c>
    </row>
    <row r="416" customFormat="false" ht="15" hidden="false" customHeight="false" outlineLevel="0" collapsed="false">
      <c r="A416" s="0" t="s">
        <v>1132</v>
      </c>
      <c r="B416" s="0" t="n">
        <v>1179</v>
      </c>
      <c r="C416" s="0" t="s">
        <v>308</v>
      </c>
      <c r="E416" s="0" t="n">
        <v>4893</v>
      </c>
      <c r="F416" s="0" t="s">
        <v>1529</v>
      </c>
      <c r="G416" s="0" t="s">
        <v>1530</v>
      </c>
      <c r="H416" s="0" t="s">
        <v>1066</v>
      </c>
      <c r="I416" s="0" t="s">
        <v>1531</v>
      </c>
      <c r="J416" s="0" t="s">
        <v>874</v>
      </c>
    </row>
    <row r="417" customFormat="false" ht="15" hidden="false" customHeight="false" outlineLevel="0" collapsed="false">
      <c r="A417" s="0" t="s">
        <v>1132</v>
      </c>
      <c r="B417" s="0" t="n">
        <v>159</v>
      </c>
      <c r="C417" s="0" t="s">
        <v>293</v>
      </c>
      <c r="E417" s="0" t="n">
        <v>11116</v>
      </c>
      <c r="F417" s="0" t="s">
        <v>1532</v>
      </c>
      <c r="G417" s="0" t="s">
        <v>1134</v>
      </c>
      <c r="H417" s="0" t="s">
        <v>1533</v>
      </c>
      <c r="I417" s="0" t="s">
        <v>1534</v>
      </c>
      <c r="J417" s="0" t="s">
        <v>652</v>
      </c>
    </row>
    <row r="418" customFormat="false" ht="15" hidden="false" customHeight="false" outlineLevel="0" collapsed="false">
      <c r="A418" s="0" t="s">
        <v>1132</v>
      </c>
      <c r="B418" s="0" t="n">
        <v>1179</v>
      </c>
      <c r="C418" s="0" t="s">
        <v>308</v>
      </c>
      <c r="E418" s="0" t="n">
        <v>11116</v>
      </c>
      <c r="F418" s="0" t="s">
        <v>1532</v>
      </c>
      <c r="G418" s="0" t="s">
        <v>1134</v>
      </c>
      <c r="H418" s="0" t="s">
        <v>1533</v>
      </c>
      <c r="I418" s="0" t="s">
        <v>1534</v>
      </c>
      <c r="J418" s="0" t="s">
        <v>652</v>
      </c>
    </row>
    <row r="419" customFormat="false" ht="15" hidden="false" customHeight="false" outlineLevel="0" collapsed="false">
      <c r="A419" s="0" t="s">
        <v>1132</v>
      </c>
      <c r="B419" s="0" t="n">
        <v>3713</v>
      </c>
      <c r="C419" s="0" t="s">
        <v>277</v>
      </c>
      <c r="E419" s="0" t="n">
        <v>4877</v>
      </c>
      <c r="F419" s="0" t="s">
        <v>1535</v>
      </c>
      <c r="G419" s="0" t="s">
        <v>1137</v>
      </c>
      <c r="H419" s="0" t="s">
        <v>1533</v>
      </c>
      <c r="I419" s="0" t="s">
        <v>1536</v>
      </c>
      <c r="J419" s="0" t="s">
        <v>652</v>
      </c>
    </row>
    <row r="420" customFormat="false" ht="15" hidden="false" customHeight="false" outlineLevel="0" collapsed="false">
      <c r="A420" s="0" t="s">
        <v>1132</v>
      </c>
      <c r="B420" s="0" t="n">
        <v>2678</v>
      </c>
      <c r="C420" s="0" t="s">
        <v>271</v>
      </c>
      <c r="E420" s="0" t="n">
        <v>4877</v>
      </c>
      <c r="F420" s="0" t="s">
        <v>1535</v>
      </c>
      <c r="G420" s="0" t="s">
        <v>1137</v>
      </c>
      <c r="H420" s="0" t="s">
        <v>1533</v>
      </c>
      <c r="I420" s="0" t="s">
        <v>1536</v>
      </c>
      <c r="J420" s="0" t="s">
        <v>652</v>
      </c>
    </row>
    <row r="421" customFormat="false" ht="15" hidden="false" customHeight="false" outlineLevel="0" collapsed="false">
      <c r="A421" s="0" t="s">
        <v>1132</v>
      </c>
      <c r="B421" s="0" t="n">
        <v>2692</v>
      </c>
      <c r="C421" s="0" t="s">
        <v>275</v>
      </c>
      <c r="E421" s="0" t="n">
        <v>4877</v>
      </c>
      <c r="F421" s="0" t="s">
        <v>1535</v>
      </c>
      <c r="G421" s="0" t="s">
        <v>1137</v>
      </c>
      <c r="H421" s="0" t="s">
        <v>1533</v>
      </c>
      <c r="I421" s="0" t="s">
        <v>1536</v>
      </c>
      <c r="J421" s="0" t="s">
        <v>652</v>
      </c>
    </row>
    <row r="422" customFormat="false" ht="15" hidden="false" customHeight="false" outlineLevel="0" collapsed="false">
      <c r="A422" s="0" t="s">
        <v>1132</v>
      </c>
      <c r="B422" s="0" t="n">
        <v>4470</v>
      </c>
      <c r="C422" s="0" t="s">
        <v>292</v>
      </c>
      <c r="E422" s="0" t="n">
        <v>4876</v>
      </c>
      <c r="F422" s="0" t="s">
        <v>1537</v>
      </c>
      <c r="G422" s="0" t="s">
        <v>1140</v>
      </c>
      <c r="H422" s="0" t="s">
        <v>1533</v>
      </c>
      <c r="I422" s="0" t="s">
        <v>1538</v>
      </c>
      <c r="J422" s="0" t="s">
        <v>652</v>
      </c>
    </row>
    <row r="423" customFormat="false" ht="15" hidden="false" customHeight="false" outlineLevel="0" collapsed="false">
      <c r="A423" s="0" t="s">
        <v>1132</v>
      </c>
      <c r="B423" s="0" t="n">
        <v>159</v>
      </c>
      <c r="C423" s="0" t="s">
        <v>293</v>
      </c>
      <c r="E423" s="0" t="n">
        <v>4876</v>
      </c>
      <c r="F423" s="0" t="s">
        <v>1537</v>
      </c>
      <c r="G423" s="0" t="s">
        <v>1140</v>
      </c>
      <c r="H423" s="0" t="s">
        <v>1533</v>
      </c>
      <c r="I423" s="0" t="s">
        <v>1538</v>
      </c>
      <c r="J423" s="0" t="s">
        <v>652</v>
      </c>
    </row>
    <row r="424" customFormat="false" ht="15" hidden="false" customHeight="false" outlineLevel="0" collapsed="false">
      <c r="A424" s="0" t="s">
        <v>1132</v>
      </c>
      <c r="B424" s="0" t="n">
        <v>1179</v>
      </c>
      <c r="C424" s="0" t="s">
        <v>308</v>
      </c>
      <c r="E424" s="0" t="n">
        <v>4876</v>
      </c>
      <c r="F424" s="0" t="s">
        <v>1537</v>
      </c>
      <c r="G424" s="0" t="s">
        <v>1140</v>
      </c>
      <c r="H424" s="0" t="s">
        <v>1533</v>
      </c>
      <c r="I424" s="0" t="s">
        <v>1538</v>
      </c>
      <c r="J424" s="0" t="s">
        <v>652</v>
      </c>
    </row>
    <row r="425" customFormat="false" ht="15" hidden="false" customHeight="false" outlineLevel="0" collapsed="false">
      <c r="A425" s="0" t="s">
        <v>1132</v>
      </c>
      <c r="B425" s="0" t="n">
        <v>159</v>
      </c>
      <c r="C425" s="0" t="s">
        <v>293</v>
      </c>
      <c r="E425" s="0" t="n">
        <v>3689</v>
      </c>
      <c r="F425" s="0" t="s">
        <v>1539</v>
      </c>
      <c r="G425" s="0" t="s">
        <v>1161</v>
      </c>
      <c r="H425" s="0" t="s">
        <v>1533</v>
      </c>
      <c r="I425" s="0" t="s">
        <v>1540</v>
      </c>
      <c r="J425" s="0" t="s">
        <v>652</v>
      </c>
    </row>
    <row r="426" customFormat="false" ht="15" hidden="false" customHeight="false" outlineLevel="0" collapsed="false">
      <c r="A426" s="0" t="s">
        <v>1132</v>
      </c>
      <c r="B426" s="0" t="n">
        <v>1179</v>
      </c>
      <c r="C426" s="0" t="s">
        <v>308</v>
      </c>
      <c r="E426" s="0" t="n">
        <v>3689</v>
      </c>
      <c r="F426" s="0" t="s">
        <v>1539</v>
      </c>
      <c r="G426" s="0" t="s">
        <v>1161</v>
      </c>
      <c r="H426" s="0" t="s">
        <v>1533</v>
      </c>
      <c r="I426" s="0" t="s">
        <v>1540</v>
      </c>
      <c r="J426" s="0" t="s">
        <v>652</v>
      </c>
    </row>
    <row r="427" customFormat="false" ht="15" hidden="false" customHeight="false" outlineLevel="0" collapsed="false">
      <c r="A427" s="0" t="s">
        <v>1132</v>
      </c>
      <c r="B427" s="0" t="n">
        <v>159</v>
      </c>
      <c r="C427" s="0" t="s">
        <v>293</v>
      </c>
      <c r="E427" s="0" t="n">
        <v>6495</v>
      </c>
      <c r="F427" s="0" t="s">
        <v>1541</v>
      </c>
      <c r="G427" s="0" t="s">
        <v>1471</v>
      </c>
      <c r="H427" s="0" t="s">
        <v>1533</v>
      </c>
      <c r="I427" s="0" t="s">
        <v>1542</v>
      </c>
      <c r="J427" s="0" t="s">
        <v>920</v>
      </c>
    </row>
    <row r="428" customFormat="false" ht="15" hidden="false" customHeight="false" outlineLevel="0" collapsed="false">
      <c r="A428" s="0" t="s">
        <v>1132</v>
      </c>
      <c r="B428" s="0" t="n">
        <v>1179</v>
      </c>
      <c r="C428" s="0" t="s">
        <v>308</v>
      </c>
      <c r="E428" s="0" t="n">
        <v>6495</v>
      </c>
      <c r="F428" s="0" t="s">
        <v>1541</v>
      </c>
      <c r="G428" s="0" t="s">
        <v>1471</v>
      </c>
      <c r="H428" s="0" t="s">
        <v>1533</v>
      </c>
      <c r="I428" s="0" t="s">
        <v>1542</v>
      </c>
      <c r="J428" s="0" t="s">
        <v>920</v>
      </c>
    </row>
    <row r="429" customFormat="false" ht="15" hidden="false" customHeight="false" outlineLevel="0" collapsed="false">
      <c r="A429" s="0" t="s">
        <v>1132</v>
      </c>
      <c r="B429" s="0" t="n">
        <v>159</v>
      </c>
      <c r="C429" s="0" t="s">
        <v>293</v>
      </c>
      <c r="E429" s="0" t="n">
        <v>4875</v>
      </c>
      <c r="F429" s="0" t="s">
        <v>1543</v>
      </c>
      <c r="G429" s="0" t="s">
        <v>1277</v>
      </c>
      <c r="H429" s="0" t="s">
        <v>1533</v>
      </c>
      <c r="I429" s="0" t="s">
        <v>1544</v>
      </c>
      <c r="J429" s="0" t="s">
        <v>652</v>
      </c>
    </row>
    <row r="430" customFormat="false" ht="15" hidden="false" customHeight="false" outlineLevel="0" collapsed="false">
      <c r="A430" s="0" t="s">
        <v>1132</v>
      </c>
      <c r="B430" s="0" t="n">
        <v>1179</v>
      </c>
      <c r="C430" s="0" t="s">
        <v>308</v>
      </c>
      <c r="E430" s="0" t="n">
        <v>4875</v>
      </c>
      <c r="F430" s="0" t="s">
        <v>1543</v>
      </c>
      <c r="G430" s="0" t="s">
        <v>1277</v>
      </c>
      <c r="H430" s="0" t="s">
        <v>1533</v>
      </c>
      <c r="I430" s="0" t="s">
        <v>1544</v>
      </c>
      <c r="J430" s="0" t="s">
        <v>652</v>
      </c>
    </row>
    <row r="431" customFormat="false" ht="15" hidden="false" customHeight="false" outlineLevel="0" collapsed="false">
      <c r="A431" s="0" t="s">
        <v>1132</v>
      </c>
      <c r="B431" s="0" t="n">
        <v>159</v>
      </c>
      <c r="C431" s="0" t="s">
        <v>293</v>
      </c>
      <c r="E431" s="0" t="n">
        <v>3884</v>
      </c>
      <c r="F431" s="0" t="s">
        <v>1545</v>
      </c>
      <c r="G431" s="0" t="s">
        <v>1148</v>
      </c>
      <c r="H431" s="0" t="s">
        <v>451</v>
      </c>
      <c r="I431" s="0" t="s">
        <v>1546</v>
      </c>
      <c r="J431" s="0" t="s">
        <v>652</v>
      </c>
    </row>
    <row r="432" customFormat="false" ht="15" hidden="false" customHeight="false" outlineLevel="0" collapsed="false">
      <c r="A432" s="0" t="s">
        <v>1132</v>
      </c>
      <c r="B432" s="0" t="n">
        <v>1179</v>
      </c>
      <c r="C432" s="0" t="s">
        <v>308</v>
      </c>
      <c r="E432" s="0" t="n">
        <v>3884</v>
      </c>
      <c r="F432" s="0" t="s">
        <v>1545</v>
      </c>
      <c r="G432" s="0" t="s">
        <v>1148</v>
      </c>
      <c r="H432" s="0" t="s">
        <v>451</v>
      </c>
      <c r="I432" s="0" t="s">
        <v>1546</v>
      </c>
      <c r="J432" s="0" t="s">
        <v>652</v>
      </c>
    </row>
    <row r="433" customFormat="false" ht="15" hidden="false" customHeight="false" outlineLevel="0" collapsed="false">
      <c r="A433" s="0" t="s">
        <v>1132</v>
      </c>
      <c r="B433" s="0" t="n">
        <v>159</v>
      </c>
      <c r="C433" s="0" t="s">
        <v>293</v>
      </c>
      <c r="E433" s="0" t="n">
        <v>6747</v>
      </c>
      <c r="F433" s="0" t="s">
        <v>1547</v>
      </c>
      <c r="G433" s="0" t="s">
        <v>1134</v>
      </c>
      <c r="H433" s="0" t="s">
        <v>451</v>
      </c>
      <c r="I433" s="0" t="s">
        <v>1548</v>
      </c>
      <c r="J433" s="0" t="s">
        <v>652</v>
      </c>
    </row>
    <row r="434" customFormat="false" ht="15" hidden="false" customHeight="false" outlineLevel="0" collapsed="false">
      <c r="A434" s="0" t="s">
        <v>1132</v>
      </c>
      <c r="B434" s="0" t="n">
        <v>1179</v>
      </c>
      <c r="C434" s="0" t="s">
        <v>308</v>
      </c>
      <c r="E434" s="0" t="n">
        <v>6747</v>
      </c>
      <c r="F434" s="0" t="s">
        <v>1547</v>
      </c>
      <c r="G434" s="0" t="s">
        <v>1134</v>
      </c>
      <c r="H434" s="0" t="s">
        <v>451</v>
      </c>
      <c r="I434" s="0" t="s">
        <v>1548</v>
      </c>
      <c r="J434" s="0" t="s">
        <v>652</v>
      </c>
    </row>
    <row r="435" customFormat="false" ht="15" hidden="false" customHeight="false" outlineLevel="0" collapsed="false">
      <c r="A435" s="0" t="s">
        <v>1132</v>
      </c>
      <c r="B435" s="0" t="n">
        <v>159</v>
      </c>
      <c r="C435" s="0" t="s">
        <v>293</v>
      </c>
      <c r="E435" s="0" t="n">
        <v>3072</v>
      </c>
      <c r="F435" s="0" t="s">
        <v>1549</v>
      </c>
      <c r="G435" s="0" t="s">
        <v>1140</v>
      </c>
      <c r="H435" s="0" t="s">
        <v>451</v>
      </c>
      <c r="I435" s="0" t="s">
        <v>1550</v>
      </c>
      <c r="J435" s="0" t="s">
        <v>652</v>
      </c>
    </row>
    <row r="436" customFormat="false" ht="15" hidden="false" customHeight="false" outlineLevel="0" collapsed="false">
      <c r="A436" s="0" t="s">
        <v>1132</v>
      </c>
      <c r="B436" s="0" t="n">
        <v>159</v>
      </c>
      <c r="C436" s="0" t="s">
        <v>293</v>
      </c>
      <c r="E436" s="0" t="n">
        <v>3883</v>
      </c>
      <c r="F436" s="0" t="s">
        <v>1551</v>
      </c>
      <c r="G436" s="0" t="s">
        <v>1148</v>
      </c>
      <c r="H436" s="0" t="s">
        <v>451</v>
      </c>
      <c r="I436" s="0" t="s">
        <v>1552</v>
      </c>
      <c r="J436" s="0" t="s">
        <v>652</v>
      </c>
    </row>
    <row r="437" customFormat="false" ht="15" hidden="false" customHeight="false" outlineLevel="0" collapsed="false">
      <c r="A437" s="0" t="s">
        <v>1132</v>
      </c>
      <c r="B437" s="0" t="n">
        <v>1179</v>
      </c>
      <c r="C437" s="0" t="s">
        <v>308</v>
      </c>
      <c r="E437" s="0" t="n">
        <v>3883</v>
      </c>
      <c r="F437" s="0" t="s">
        <v>1551</v>
      </c>
      <c r="G437" s="0" t="s">
        <v>1148</v>
      </c>
      <c r="H437" s="0" t="s">
        <v>451</v>
      </c>
      <c r="I437" s="0" t="s">
        <v>1552</v>
      </c>
      <c r="J437" s="0" t="s">
        <v>652</v>
      </c>
    </row>
    <row r="438" customFormat="false" ht="15" hidden="false" customHeight="false" outlineLevel="0" collapsed="false">
      <c r="A438" s="0" t="s">
        <v>1132</v>
      </c>
      <c r="B438" s="0" t="n">
        <v>4470</v>
      </c>
      <c r="C438" s="0" t="s">
        <v>292</v>
      </c>
      <c r="E438" s="0" t="n">
        <v>3076</v>
      </c>
      <c r="F438" s="0" t="s">
        <v>1553</v>
      </c>
      <c r="G438" s="0" t="s">
        <v>1140</v>
      </c>
      <c r="H438" s="0" t="s">
        <v>451</v>
      </c>
      <c r="I438" s="0" t="s">
        <v>1554</v>
      </c>
      <c r="J438" s="0" t="s">
        <v>652</v>
      </c>
    </row>
    <row r="439" customFormat="false" ht="15" hidden="false" customHeight="false" outlineLevel="0" collapsed="false">
      <c r="A439" s="0" t="s">
        <v>1132</v>
      </c>
      <c r="B439" s="0" t="n">
        <v>159</v>
      </c>
      <c r="C439" s="0" t="s">
        <v>293</v>
      </c>
      <c r="E439" s="0" t="n">
        <v>3076</v>
      </c>
      <c r="F439" s="0" t="s">
        <v>1553</v>
      </c>
      <c r="G439" s="0" t="s">
        <v>1140</v>
      </c>
      <c r="H439" s="0" t="s">
        <v>451</v>
      </c>
      <c r="I439" s="0" t="s">
        <v>1554</v>
      </c>
      <c r="J439" s="0" t="s">
        <v>652</v>
      </c>
    </row>
    <row r="440" customFormat="false" ht="15" hidden="false" customHeight="false" outlineLevel="0" collapsed="false">
      <c r="A440" s="0" t="s">
        <v>1132</v>
      </c>
      <c r="B440" s="0" t="n">
        <v>2678</v>
      </c>
      <c r="C440" s="0" t="s">
        <v>271</v>
      </c>
      <c r="E440" s="0" t="n">
        <v>3081</v>
      </c>
      <c r="F440" s="0" t="s">
        <v>759</v>
      </c>
      <c r="G440" s="0" t="s">
        <v>1137</v>
      </c>
      <c r="H440" s="0" t="s">
        <v>451</v>
      </c>
      <c r="I440" s="0" t="s">
        <v>1555</v>
      </c>
      <c r="J440" s="0" t="s">
        <v>652</v>
      </c>
    </row>
    <row r="441" customFormat="false" ht="15" hidden="false" customHeight="false" outlineLevel="0" collapsed="false">
      <c r="A441" s="0" t="s">
        <v>1132</v>
      </c>
      <c r="B441" s="0" t="n">
        <v>4470</v>
      </c>
      <c r="C441" s="0" t="s">
        <v>292</v>
      </c>
      <c r="E441" s="0" t="n">
        <v>3350</v>
      </c>
      <c r="F441" s="0" t="s">
        <v>1556</v>
      </c>
      <c r="G441" s="0" t="s">
        <v>1178</v>
      </c>
      <c r="H441" s="0" t="s">
        <v>730</v>
      </c>
      <c r="I441" s="0" t="s">
        <v>1557</v>
      </c>
      <c r="J441" s="0" t="s">
        <v>652</v>
      </c>
    </row>
    <row r="442" customFormat="false" ht="15" hidden="false" customHeight="false" outlineLevel="0" collapsed="false">
      <c r="A442" s="0" t="s">
        <v>1132</v>
      </c>
      <c r="B442" s="0" t="n">
        <v>159</v>
      </c>
      <c r="C442" s="0" t="s">
        <v>293</v>
      </c>
      <c r="E442" s="0" t="n">
        <v>3350</v>
      </c>
      <c r="F442" s="0" t="s">
        <v>1556</v>
      </c>
      <c r="G442" s="0" t="s">
        <v>1178</v>
      </c>
      <c r="H442" s="0" t="s">
        <v>730</v>
      </c>
      <c r="I442" s="0" t="s">
        <v>1557</v>
      </c>
      <c r="J442" s="0" t="s">
        <v>652</v>
      </c>
    </row>
    <row r="443" customFormat="false" ht="15" hidden="false" customHeight="false" outlineLevel="0" collapsed="false">
      <c r="A443" s="0" t="s">
        <v>1132</v>
      </c>
      <c r="B443" s="0" t="n">
        <v>3713</v>
      </c>
      <c r="C443" s="0" t="s">
        <v>277</v>
      </c>
      <c r="E443" s="0" t="n">
        <v>3367</v>
      </c>
      <c r="F443" s="0" t="s">
        <v>1558</v>
      </c>
      <c r="G443" s="0" t="s">
        <v>1559</v>
      </c>
      <c r="H443" s="0" t="s">
        <v>730</v>
      </c>
      <c r="I443" s="0" t="s">
        <v>1560</v>
      </c>
      <c r="J443" s="0" t="s">
        <v>652</v>
      </c>
    </row>
    <row r="444" customFormat="false" ht="15" hidden="false" customHeight="false" outlineLevel="0" collapsed="false">
      <c r="A444" s="0" t="s">
        <v>1132</v>
      </c>
      <c r="B444" s="0" t="n">
        <v>2678</v>
      </c>
      <c r="C444" s="0" t="s">
        <v>271</v>
      </c>
      <c r="E444" s="0" t="n">
        <v>3367</v>
      </c>
      <c r="F444" s="0" t="s">
        <v>1558</v>
      </c>
      <c r="G444" s="0" t="s">
        <v>1559</v>
      </c>
      <c r="H444" s="0" t="s">
        <v>730</v>
      </c>
      <c r="I444" s="0" t="s">
        <v>1560</v>
      </c>
      <c r="J444" s="0" t="s">
        <v>652</v>
      </c>
    </row>
    <row r="445" customFormat="false" ht="15" hidden="false" customHeight="false" outlineLevel="0" collapsed="false">
      <c r="A445" s="0" t="s">
        <v>1132</v>
      </c>
      <c r="B445" s="0" t="n">
        <v>2692</v>
      </c>
      <c r="C445" s="0" t="s">
        <v>275</v>
      </c>
      <c r="E445" s="0" t="n">
        <v>3367</v>
      </c>
      <c r="F445" s="0" t="s">
        <v>1558</v>
      </c>
      <c r="G445" s="0" t="s">
        <v>1559</v>
      </c>
      <c r="H445" s="0" t="s">
        <v>730</v>
      </c>
      <c r="I445" s="0" t="s">
        <v>1560</v>
      </c>
      <c r="J445" s="0" t="s">
        <v>652</v>
      </c>
    </row>
    <row r="446" customFormat="false" ht="15" hidden="false" customHeight="false" outlineLevel="0" collapsed="false">
      <c r="A446" s="0" t="s">
        <v>1132</v>
      </c>
      <c r="B446" s="0" t="n">
        <v>159</v>
      </c>
      <c r="C446" s="0" t="s">
        <v>293</v>
      </c>
      <c r="E446" s="0" t="n">
        <v>6929</v>
      </c>
      <c r="F446" s="0" t="s">
        <v>1561</v>
      </c>
      <c r="G446" s="0" t="s">
        <v>1134</v>
      </c>
      <c r="H446" s="0" t="s">
        <v>730</v>
      </c>
      <c r="I446" s="0" t="s">
        <v>1562</v>
      </c>
      <c r="J446" s="0" t="s">
        <v>652</v>
      </c>
    </row>
    <row r="447" customFormat="false" ht="15" hidden="false" customHeight="false" outlineLevel="0" collapsed="false">
      <c r="A447" s="0" t="s">
        <v>1132</v>
      </c>
      <c r="B447" s="0" t="n">
        <v>1179</v>
      </c>
      <c r="C447" s="0" t="s">
        <v>308</v>
      </c>
      <c r="E447" s="0" t="n">
        <v>6929</v>
      </c>
      <c r="F447" s="0" t="s">
        <v>1561</v>
      </c>
      <c r="G447" s="0" t="s">
        <v>1134</v>
      </c>
      <c r="H447" s="0" t="s">
        <v>730</v>
      </c>
      <c r="I447" s="0" t="s">
        <v>1562</v>
      </c>
      <c r="J447" s="0" t="s">
        <v>652</v>
      </c>
    </row>
    <row r="448" customFormat="false" ht="15" hidden="false" customHeight="false" outlineLevel="0" collapsed="false">
      <c r="A448" s="0" t="s">
        <v>1132</v>
      </c>
      <c r="B448" s="0" t="n">
        <v>4470</v>
      </c>
      <c r="C448" s="0" t="s">
        <v>292</v>
      </c>
      <c r="E448" s="0" t="n">
        <v>3346</v>
      </c>
      <c r="F448" s="0" t="s">
        <v>1563</v>
      </c>
      <c r="G448" s="0" t="s">
        <v>1202</v>
      </c>
      <c r="H448" s="0" t="s">
        <v>730</v>
      </c>
      <c r="I448" s="0" t="s">
        <v>1564</v>
      </c>
      <c r="J448" s="0" t="s">
        <v>652</v>
      </c>
    </row>
    <row r="449" customFormat="false" ht="15" hidden="false" customHeight="false" outlineLevel="0" collapsed="false">
      <c r="A449" s="0" t="s">
        <v>1132</v>
      </c>
      <c r="B449" s="0" t="n">
        <v>159</v>
      </c>
      <c r="C449" s="0" t="s">
        <v>293</v>
      </c>
      <c r="E449" s="0" t="n">
        <v>5611</v>
      </c>
      <c r="F449" s="0" t="s">
        <v>1565</v>
      </c>
      <c r="H449" s="0" t="s">
        <v>730</v>
      </c>
      <c r="I449" s="0" t="s">
        <v>1566</v>
      </c>
      <c r="J449" s="0" t="s">
        <v>652</v>
      </c>
    </row>
    <row r="450" customFormat="false" ht="15" hidden="false" customHeight="false" outlineLevel="0" collapsed="false">
      <c r="A450" s="0" t="s">
        <v>1132</v>
      </c>
      <c r="B450" s="0" t="n">
        <v>1179</v>
      </c>
      <c r="C450" s="0" t="s">
        <v>308</v>
      </c>
      <c r="E450" s="0" t="n">
        <v>5611</v>
      </c>
      <c r="F450" s="0" t="s">
        <v>1565</v>
      </c>
      <c r="H450" s="0" t="s">
        <v>730</v>
      </c>
      <c r="I450" s="0" t="s">
        <v>1566</v>
      </c>
      <c r="J450" s="0" t="s">
        <v>652</v>
      </c>
    </row>
    <row r="451" customFormat="false" ht="15" hidden="false" customHeight="false" outlineLevel="0" collapsed="false">
      <c r="A451" s="0" t="s">
        <v>1132</v>
      </c>
      <c r="B451" s="0" t="n">
        <v>2596</v>
      </c>
      <c r="C451" s="0" t="s">
        <v>363</v>
      </c>
      <c r="E451" s="0" t="n">
        <v>5611</v>
      </c>
      <c r="F451" s="0" t="s">
        <v>1565</v>
      </c>
      <c r="H451" s="0" t="s">
        <v>730</v>
      </c>
      <c r="I451" s="0" t="s">
        <v>1566</v>
      </c>
      <c r="J451" s="0" t="s">
        <v>652</v>
      </c>
    </row>
    <row r="452" customFormat="false" ht="15" hidden="false" customHeight="false" outlineLevel="0" collapsed="false">
      <c r="A452" s="0" t="s">
        <v>1132</v>
      </c>
      <c r="B452" s="0" t="n">
        <v>17196</v>
      </c>
      <c r="C452" s="0" t="s">
        <v>309</v>
      </c>
      <c r="E452" s="0" t="n">
        <v>13420</v>
      </c>
      <c r="F452" s="0" t="s">
        <v>1567</v>
      </c>
      <c r="G452" s="0" t="s">
        <v>1210</v>
      </c>
      <c r="H452" s="0" t="s">
        <v>730</v>
      </c>
      <c r="I452" s="0" t="s">
        <v>1568</v>
      </c>
      <c r="J452" s="0" t="s">
        <v>920</v>
      </c>
    </row>
    <row r="453" customFormat="false" ht="15" hidden="false" customHeight="false" outlineLevel="0" collapsed="false">
      <c r="A453" s="0" t="s">
        <v>1132</v>
      </c>
      <c r="B453" s="0" t="n">
        <v>17194</v>
      </c>
      <c r="C453" s="0" t="s">
        <v>301</v>
      </c>
      <c r="E453" s="0" t="n">
        <v>13420</v>
      </c>
      <c r="F453" s="0" t="s">
        <v>1567</v>
      </c>
      <c r="G453" s="0" t="s">
        <v>1210</v>
      </c>
      <c r="H453" s="0" t="s">
        <v>730</v>
      </c>
      <c r="I453" s="0" t="s">
        <v>1568</v>
      </c>
      <c r="J453" s="0" t="s">
        <v>920</v>
      </c>
    </row>
    <row r="454" customFormat="false" ht="15" hidden="false" customHeight="false" outlineLevel="0" collapsed="false">
      <c r="A454" s="0" t="s">
        <v>1132</v>
      </c>
      <c r="B454" s="0" t="n">
        <v>4536</v>
      </c>
      <c r="C454" s="0" t="s">
        <v>316</v>
      </c>
      <c r="E454" s="0" t="n">
        <v>3342</v>
      </c>
      <c r="F454" s="0" t="s">
        <v>1569</v>
      </c>
      <c r="G454" s="0" t="s">
        <v>1570</v>
      </c>
      <c r="H454" s="0" t="s">
        <v>730</v>
      </c>
      <c r="I454" s="0" t="s">
        <v>1571</v>
      </c>
      <c r="J454" s="0" t="s">
        <v>652</v>
      </c>
    </row>
    <row r="455" customFormat="false" ht="15" hidden="false" customHeight="false" outlineLevel="0" collapsed="false">
      <c r="A455" s="0" t="s">
        <v>1132</v>
      </c>
      <c r="B455" s="0" t="n">
        <v>3713</v>
      </c>
      <c r="C455" s="0" t="s">
        <v>277</v>
      </c>
      <c r="E455" s="0" t="n">
        <v>5817</v>
      </c>
      <c r="F455" s="0" t="s">
        <v>1572</v>
      </c>
      <c r="G455" s="0" t="s">
        <v>1573</v>
      </c>
      <c r="H455" s="0" t="s">
        <v>730</v>
      </c>
      <c r="I455" s="0" t="s">
        <v>1574</v>
      </c>
      <c r="J455" s="0" t="s">
        <v>652</v>
      </c>
    </row>
    <row r="456" customFormat="false" ht="15" hidden="false" customHeight="false" outlineLevel="0" collapsed="false">
      <c r="A456" s="0" t="s">
        <v>1132</v>
      </c>
      <c r="B456" s="0" t="n">
        <v>2678</v>
      </c>
      <c r="C456" s="0" t="s">
        <v>271</v>
      </c>
      <c r="E456" s="0" t="n">
        <v>5817</v>
      </c>
      <c r="F456" s="0" t="s">
        <v>1572</v>
      </c>
      <c r="G456" s="0" t="s">
        <v>1573</v>
      </c>
      <c r="H456" s="0" t="s">
        <v>730</v>
      </c>
      <c r="I456" s="0" t="s">
        <v>1574</v>
      </c>
      <c r="J456" s="0" t="s">
        <v>652</v>
      </c>
    </row>
    <row r="457" customFormat="false" ht="15" hidden="false" customHeight="false" outlineLevel="0" collapsed="false">
      <c r="A457" s="0" t="s">
        <v>1132</v>
      </c>
      <c r="B457" s="0" t="n">
        <v>2692</v>
      </c>
      <c r="C457" s="0" t="s">
        <v>275</v>
      </c>
      <c r="E457" s="0" t="n">
        <v>5817</v>
      </c>
      <c r="F457" s="0" t="s">
        <v>1572</v>
      </c>
      <c r="G457" s="0" t="s">
        <v>1573</v>
      </c>
      <c r="H457" s="0" t="s">
        <v>730</v>
      </c>
      <c r="I457" s="0" t="s">
        <v>1574</v>
      </c>
      <c r="J457" s="0" t="s">
        <v>652</v>
      </c>
    </row>
    <row r="458" customFormat="false" ht="15" hidden="false" customHeight="false" outlineLevel="0" collapsed="false">
      <c r="A458" s="0" t="s">
        <v>1132</v>
      </c>
      <c r="B458" s="0" t="n">
        <v>4470</v>
      </c>
      <c r="C458" s="0" t="s">
        <v>292</v>
      </c>
      <c r="E458" s="0" t="n">
        <v>3313</v>
      </c>
      <c r="F458" s="0" t="s">
        <v>1575</v>
      </c>
      <c r="G458" s="0" t="s">
        <v>1140</v>
      </c>
      <c r="H458" s="0" t="s">
        <v>730</v>
      </c>
      <c r="I458" s="0" t="s">
        <v>1576</v>
      </c>
      <c r="J458" s="0" t="s">
        <v>652</v>
      </c>
    </row>
    <row r="459" customFormat="false" ht="15" hidden="false" customHeight="false" outlineLevel="0" collapsed="false">
      <c r="A459" s="0" t="s">
        <v>1132</v>
      </c>
      <c r="B459" s="0" t="n">
        <v>159</v>
      </c>
      <c r="C459" s="0" t="s">
        <v>293</v>
      </c>
      <c r="E459" s="0" t="n">
        <v>3313</v>
      </c>
      <c r="F459" s="0" t="s">
        <v>1575</v>
      </c>
      <c r="G459" s="0" t="s">
        <v>1140</v>
      </c>
      <c r="H459" s="0" t="s">
        <v>730</v>
      </c>
      <c r="I459" s="0" t="s">
        <v>1576</v>
      </c>
      <c r="J459" s="0" t="s">
        <v>652</v>
      </c>
    </row>
    <row r="460" customFormat="false" ht="15" hidden="false" customHeight="false" outlineLevel="0" collapsed="false">
      <c r="A460" s="0" t="s">
        <v>1132</v>
      </c>
      <c r="B460" s="0" t="n">
        <v>1179</v>
      </c>
      <c r="C460" s="0" t="s">
        <v>308</v>
      </c>
      <c r="E460" s="0" t="n">
        <v>3313</v>
      </c>
      <c r="F460" s="0" t="s">
        <v>1575</v>
      </c>
      <c r="G460" s="0" t="s">
        <v>1140</v>
      </c>
      <c r="H460" s="0" t="s">
        <v>730</v>
      </c>
      <c r="I460" s="0" t="s">
        <v>1576</v>
      </c>
      <c r="J460" s="0" t="s">
        <v>652</v>
      </c>
    </row>
    <row r="461" customFormat="false" ht="15" hidden="false" customHeight="false" outlineLevel="0" collapsed="false">
      <c r="A461" s="0" t="s">
        <v>1132</v>
      </c>
      <c r="B461" s="0" t="n">
        <v>159</v>
      </c>
      <c r="C461" s="0" t="s">
        <v>293</v>
      </c>
      <c r="E461" s="0" t="n">
        <v>3400</v>
      </c>
      <c r="F461" s="0" t="s">
        <v>729</v>
      </c>
      <c r="G461" s="0" t="s">
        <v>1193</v>
      </c>
      <c r="H461" s="0" t="s">
        <v>730</v>
      </c>
      <c r="I461" s="0" t="s">
        <v>1577</v>
      </c>
      <c r="J461" s="0" t="s">
        <v>652</v>
      </c>
    </row>
    <row r="462" customFormat="false" ht="15" hidden="false" customHeight="false" outlineLevel="0" collapsed="false">
      <c r="A462" s="0" t="s">
        <v>1132</v>
      </c>
      <c r="B462" s="0" t="n">
        <v>3713</v>
      </c>
      <c r="C462" s="0" t="s">
        <v>277</v>
      </c>
      <c r="E462" s="0" t="n">
        <v>3400</v>
      </c>
      <c r="F462" s="0" t="s">
        <v>729</v>
      </c>
      <c r="G462" s="0" t="s">
        <v>1193</v>
      </c>
      <c r="H462" s="0" t="s">
        <v>730</v>
      </c>
      <c r="I462" s="0" t="s">
        <v>1577</v>
      </c>
      <c r="J462" s="0" t="s">
        <v>652</v>
      </c>
    </row>
    <row r="463" customFormat="false" ht="15" hidden="false" customHeight="false" outlineLevel="0" collapsed="false">
      <c r="A463" s="0" t="s">
        <v>1132</v>
      </c>
      <c r="B463" s="0" t="n">
        <v>2678</v>
      </c>
      <c r="C463" s="0" t="s">
        <v>271</v>
      </c>
      <c r="E463" s="0" t="n">
        <v>3400</v>
      </c>
      <c r="F463" s="0" t="s">
        <v>729</v>
      </c>
      <c r="G463" s="0" t="s">
        <v>1193</v>
      </c>
      <c r="H463" s="0" t="s">
        <v>730</v>
      </c>
      <c r="I463" s="0" t="s">
        <v>1577</v>
      </c>
      <c r="J463" s="0" t="s">
        <v>652</v>
      </c>
    </row>
    <row r="464" customFormat="false" ht="15" hidden="false" customHeight="false" outlineLevel="0" collapsed="false">
      <c r="A464" s="0" t="s">
        <v>1132</v>
      </c>
      <c r="B464" s="0" t="n">
        <v>2692</v>
      </c>
      <c r="C464" s="0" t="s">
        <v>275</v>
      </c>
      <c r="E464" s="0" t="n">
        <v>3400</v>
      </c>
      <c r="F464" s="0" t="s">
        <v>729</v>
      </c>
      <c r="G464" s="0" t="s">
        <v>1193</v>
      </c>
      <c r="H464" s="0" t="s">
        <v>730</v>
      </c>
      <c r="I464" s="0" t="s">
        <v>1577</v>
      </c>
      <c r="J464" s="0" t="s">
        <v>652</v>
      </c>
    </row>
    <row r="465" customFormat="false" ht="15" hidden="false" customHeight="false" outlineLevel="0" collapsed="false">
      <c r="A465" s="0" t="s">
        <v>1132</v>
      </c>
      <c r="B465" s="0" t="n">
        <v>4470</v>
      </c>
      <c r="C465" s="0" t="s">
        <v>292</v>
      </c>
      <c r="E465" s="0" t="n">
        <v>12021</v>
      </c>
      <c r="F465" s="0" t="s">
        <v>1578</v>
      </c>
      <c r="G465" s="0" t="s">
        <v>1140</v>
      </c>
      <c r="H465" s="0" t="s">
        <v>1579</v>
      </c>
      <c r="I465" s="0" t="s">
        <v>1580</v>
      </c>
      <c r="J465" s="0" t="s">
        <v>920</v>
      </c>
    </row>
    <row r="466" customFormat="false" ht="15" hidden="false" customHeight="false" outlineLevel="0" collapsed="false">
      <c r="A466" s="0" t="s">
        <v>1132</v>
      </c>
      <c r="B466" s="0" t="n">
        <v>159</v>
      </c>
      <c r="C466" s="0" t="s">
        <v>293</v>
      </c>
      <c r="E466" s="0" t="n">
        <v>12021</v>
      </c>
      <c r="F466" s="0" t="s">
        <v>1578</v>
      </c>
      <c r="G466" s="0" t="s">
        <v>1140</v>
      </c>
      <c r="H466" s="0" t="s">
        <v>1579</v>
      </c>
      <c r="I466" s="0" t="s">
        <v>1580</v>
      </c>
      <c r="J466" s="0" t="s">
        <v>920</v>
      </c>
    </row>
    <row r="467" customFormat="false" ht="15" hidden="false" customHeight="false" outlineLevel="0" collapsed="false">
      <c r="A467" s="0" t="s">
        <v>1132</v>
      </c>
      <c r="B467" s="0" t="n">
        <v>1179</v>
      </c>
      <c r="C467" s="0" t="s">
        <v>308</v>
      </c>
      <c r="E467" s="0" t="n">
        <v>12021</v>
      </c>
      <c r="F467" s="0" t="s">
        <v>1578</v>
      </c>
      <c r="G467" s="0" t="s">
        <v>1140</v>
      </c>
      <c r="H467" s="0" t="s">
        <v>1579</v>
      </c>
      <c r="I467" s="0" t="s">
        <v>1580</v>
      </c>
      <c r="J467" s="0" t="s">
        <v>920</v>
      </c>
    </row>
    <row r="468" customFormat="false" ht="15" hidden="false" customHeight="false" outlineLevel="0" collapsed="false">
      <c r="A468" s="0" t="s">
        <v>1132</v>
      </c>
      <c r="B468" s="0" t="n">
        <v>159</v>
      </c>
      <c r="C468" s="0" t="s">
        <v>293</v>
      </c>
      <c r="E468" s="0" t="n">
        <v>12019</v>
      </c>
      <c r="F468" s="0" t="s">
        <v>1581</v>
      </c>
      <c r="G468" s="0" t="s">
        <v>1145</v>
      </c>
      <c r="H468" s="0" t="s">
        <v>1579</v>
      </c>
      <c r="I468" s="0" t="s">
        <v>1582</v>
      </c>
      <c r="J468" s="0" t="s">
        <v>920</v>
      </c>
    </row>
    <row r="469" customFormat="false" ht="15" hidden="false" customHeight="false" outlineLevel="0" collapsed="false">
      <c r="A469" s="0" t="s">
        <v>1132</v>
      </c>
      <c r="B469" s="0" t="n">
        <v>1179</v>
      </c>
      <c r="C469" s="0" t="s">
        <v>308</v>
      </c>
      <c r="E469" s="0" t="n">
        <v>12019</v>
      </c>
      <c r="F469" s="0" t="s">
        <v>1581</v>
      </c>
      <c r="G469" s="0" t="s">
        <v>1145</v>
      </c>
      <c r="H469" s="0" t="s">
        <v>1579</v>
      </c>
      <c r="I469" s="0" t="s">
        <v>1582</v>
      </c>
      <c r="J469" s="0" t="s">
        <v>920</v>
      </c>
    </row>
    <row r="470" customFormat="false" ht="15" hidden="false" customHeight="false" outlineLevel="0" collapsed="false">
      <c r="A470" s="0" t="s">
        <v>1132</v>
      </c>
      <c r="B470" s="0" t="n">
        <v>3713</v>
      </c>
      <c r="C470" s="0" t="s">
        <v>277</v>
      </c>
      <c r="E470" s="0" t="n">
        <v>12022</v>
      </c>
      <c r="F470" s="0" t="s">
        <v>1583</v>
      </c>
      <c r="G470" s="0" t="s">
        <v>1137</v>
      </c>
      <c r="H470" s="0" t="s">
        <v>1579</v>
      </c>
      <c r="I470" s="0" t="s">
        <v>1584</v>
      </c>
      <c r="J470" s="0" t="s">
        <v>920</v>
      </c>
    </row>
    <row r="471" customFormat="false" ht="15" hidden="false" customHeight="false" outlineLevel="0" collapsed="false">
      <c r="A471" s="0" t="s">
        <v>1132</v>
      </c>
      <c r="B471" s="0" t="n">
        <v>2678</v>
      </c>
      <c r="C471" s="0" t="s">
        <v>271</v>
      </c>
      <c r="E471" s="0" t="n">
        <v>12022</v>
      </c>
      <c r="F471" s="0" t="s">
        <v>1583</v>
      </c>
      <c r="G471" s="0" t="s">
        <v>1137</v>
      </c>
      <c r="H471" s="0" t="s">
        <v>1579</v>
      </c>
      <c r="I471" s="0" t="s">
        <v>1584</v>
      </c>
      <c r="J471" s="0" t="s">
        <v>920</v>
      </c>
    </row>
    <row r="472" customFormat="false" ht="15" hidden="false" customHeight="false" outlineLevel="0" collapsed="false">
      <c r="A472" s="0" t="s">
        <v>1132</v>
      </c>
      <c r="B472" s="0" t="n">
        <v>2692</v>
      </c>
      <c r="C472" s="0" t="s">
        <v>275</v>
      </c>
      <c r="E472" s="0" t="n">
        <v>12022</v>
      </c>
      <c r="F472" s="0" t="s">
        <v>1583</v>
      </c>
      <c r="G472" s="0" t="s">
        <v>1137</v>
      </c>
      <c r="H472" s="0" t="s">
        <v>1579</v>
      </c>
      <c r="I472" s="0" t="s">
        <v>1584</v>
      </c>
      <c r="J472" s="0" t="s">
        <v>920</v>
      </c>
    </row>
    <row r="473" customFormat="false" ht="15" hidden="false" customHeight="false" outlineLevel="0" collapsed="false">
      <c r="A473" s="0" t="s">
        <v>1132</v>
      </c>
      <c r="B473" s="0" t="n">
        <v>159</v>
      </c>
      <c r="C473" s="0" t="s">
        <v>293</v>
      </c>
      <c r="E473" s="0" t="n">
        <v>12026</v>
      </c>
      <c r="F473" s="0" t="s">
        <v>1585</v>
      </c>
      <c r="G473" s="0" t="s">
        <v>1145</v>
      </c>
      <c r="H473" s="0" t="s">
        <v>1579</v>
      </c>
      <c r="I473" s="0" t="s">
        <v>1586</v>
      </c>
      <c r="J473" s="0" t="s">
        <v>920</v>
      </c>
    </row>
    <row r="474" customFormat="false" ht="15" hidden="false" customHeight="false" outlineLevel="0" collapsed="false">
      <c r="A474" s="0" t="s">
        <v>1132</v>
      </c>
      <c r="B474" s="0" t="n">
        <v>1179</v>
      </c>
      <c r="C474" s="0" t="s">
        <v>308</v>
      </c>
      <c r="E474" s="0" t="n">
        <v>12026</v>
      </c>
      <c r="F474" s="0" t="s">
        <v>1585</v>
      </c>
      <c r="G474" s="0" t="s">
        <v>1145</v>
      </c>
      <c r="H474" s="0" t="s">
        <v>1579</v>
      </c>
      <c r="I474" s="0" t="s">
        <v>1586</v>
      </c>
      <c r="J474" s="0" t="s">
        <v>920</v>
      </c>
    </row>
    <row r="475" customFormat="false" ht="15" hidden="false" customHeight="false" outlineLevel="0" collapsed="false">
      <c r="A475" s="0" t="s">
        <v>1132</v>
      </c>
      <c r="B475" s="0" t="n">
        <v>4470</v>
      </c>
      <c r="C475" s="0" t="s">
        <v>292</v>
      </c>
      <c r="E475" s="0" t="n">
        <v>12246</v>
      </c>
      <c r="F475" s="0" t="s">
        <v>1587</v>
      </c>
      <c r="H475" s="0" t="s">
        <v>1588</v>
      </c>
      <c r="J475" s="0" t="s">
        <v>920</v>
      </c>
    </row>
    <row r="476" customFormat="false" ht="15" hidden="false" customHeight="false" outlineLevel="0" collapsed="false">
      <c r="A476" s="0" t="s">
        <v>1132</v>
      </c>
      <c r="B476" s="0" t="n">
        <v>159</v>
      </c>
      <c r="C476" s="0" t="s">
        <v>293</v>
      </c>
      <c r="E476" s="0" t="n">
        <v>12246</v>
      </c>
      <c r="F476" s="0" t="s">
        <v>1587</v>
      </c>
      <c r="H476" s="0" t="s">
        <v>1588</v>
      </c>
      <c r="J476" s="0" t="s">
        <v>920</v>
      </c>
    </row>
    <row r="477" customFormat="false" ht="15" hidden="false" customHeight="false" outlineLevel="0" collapsed="false">
      <c r="A477" s="0" t="s">
        <v>1132</v>
      </c>
      <c r="B477" s="0" t="n">
        <v>3713</v>
      </c>
      <c r="C477" s="0" t="s">
        <v>277</v>
      </c>
      <c r="E477" s="0" t="n">
        <v>12245</v>
      </c>
      <c r="F477" s="0" t="s">
        <v>1589</v>
      </c>
      <c r="H477" s="0" t="s">
        <v>1588</v>
      </c>
      <c r="J477" s="0" t="s">
        <v>920</v>
      </c>
    </row>
    <row r="478" customFormat="false" ht="15" hidden="false" customHeight="false" outlineLevel="0" collapsed="false">
      <c r="A478" s="0" t="s">
        <v>1132</v>
      </c>
      <c r="B478" s="0" t="n">
        <v>2678</v>
      </c>
      <c r="C478" s="0" t="s">
        <v>271</v>
      </c>
      <c r="E478" s="0" t="n">
        <v>12245</v>
      </c>
      <c r="F478" s="0" t="s">
        <v>1589</v>
      </c>
      <c r="H478" s="0" t="s">
        <v>1588</v>
      </c>
      <c r="J478" s="0" t="s">
        <v>920</v>
      </c>
    </row>
    <row r="479" customFormat="false" ht="15" hidden="false" customHeight="false" outlineLevel="0" collapsed="false">
      <c r="A479" s="0" t="s">
        <v>1132</v>
      </c>
      <c r="B479" s="0" t="n">
        <v>2692</v>
      </c>
      <c r="C479" s="0" t="s">
        <v>275</v>
      </c>
      <c r="E479" s="0" t="n">
        <v>12245</v>
      </c>
      <c r="F479" s="0" t="s">
        <v>1589</v>
      </c>
      <c r="H479" s="0" t="s">
        <v>1588</v>
      </c>
      <c r="J479" s="0" t="s">
        <v>920</v>
      </c>
    </row>
    <row r="480" customFormat="false" ht="15" hidden="false" customHeight="false" outlineLevel="0" collapsed="false">
      <c r="A480" s="0" t="s">
        <v>1132</v>
      </c>
      <c r="B480" s="0" t="n">
        <v>4470</v>
      </c>
      <c r="C480" s="0" t="s">
        <v>292</v>
      </c>
      <c r="E480" s="0" t="n">
        <v>15174</v>
      </c>
      <c r="F480" s="0" t="s">
        <v>1110</v>
      </c>
      <c r="G480" s="0" t="s">
        <v>1134</v>
      </c>
      <c r="H480" s="0" t="s">
        <v>542</v>
      </c>
      <c r="I480" s="0" t="s">
        <v>1111</v>
      </c>
      <c r="J480" s="0" t="s">
        <v>920</v>
      </c>
    </row>
    <row r="481" customFormat="false" ht="15" hidden="false" customHeight="false" outlineLevel="0" collapsed="false">
      <c r="A481" s="0" t="s">
        <v>1132</v>
      </c>
      <c r="B481" s="0" t="n">
        <v>159</v>
      </c>
      <c r="C481" s="0" t="s">
        <v>293</v>
      </c>
      <c r="E481" s="0" t="n">
        <v>15174</v>
      </c>
      <c r="F481" s="0" t="s">
        <v>1110</v>
      </c>
      <c r="G481" s="0" t="s">
        <v>1134</v>
      </c>
      <c r="H481" s="0" t="s">
        <v>542</v>
      </c>
      <c r="I481" s="0" t="s">
        <v>1111</v>
      </c>
      <c r="J481" s="0" t="s">
        <v>920</v>
      </c>
    </row>
    <row r="482" customFormat="false" ht="15" hidden="false" customHeight="false" outlineLevel="0" collapsed="false">
      <c r="A482" s="0" t="s">
        <v>1132</v>
      </c>
      <c r="B482" s="0" t="n">
        <v>1179</v>
      </c>
      <c r="C482" s="0" t="s">
        <v>308</v>
      </c>
      <c r="E482" s="0" t="n">
        <v>15174</v>
      </c>
      <c r="F482" s="0" t="s">
        <v>1110</v>
      </c>
      <c r="G482" s="0" t="s">
        <v>1134</v>
      </c>
      <c r="H482" s="0" t="s">
        <v>542</v>
      </c>
      <c r="I482" s="0" t="s">
        <v>1111</v>
      </c>
      <c r="J482" s="0" t="s">
        <v>920</v>
      </c>
    </row>
    <row r="483" customFormat="false" ht="15" hidden="false" customHeight="false" outlineLevel="0" collapsed="false">
      <c r="A483" s="0" t="s">
        <v>1132</v>
      </c>
      <c r="B483" s="0" t="n">
        <v>4470</v>
      </c>
      <c r="C483" s="0" t="s">
        <v>292</v>
      </c>
      <c r="E483" s="0" t="n">
        <v>15419</v>
      </c>
      <c r="F483" s="0" t="s">
        <v>1590</v>
      </c>
      <c r="G483" s="0" t="s">
        <v>1202</v>
      </c>
      <c r="H483" s="0" t="s">
        <v>542</v>
      </c>
      <c r="I483" s="0" t="s">
        <v>1591</v>
      </c>
      <c r="J483" s="0" t="s">
        <v>920</v>
      </c>
    </row>
    <row r="484" customFormat="false" ht="15" hidden="false" customHeight="false" outlineLevel="0" collapsed="false">
      <c r="A484" s="0" t="s">
        <v>1132</v>
      </c>
      <c r="B484" s="0" t="n">
        <v>3713</v>
      </c>
      <c r="C484" s="0" t="s">
        <v>277</v>
      </c>
      <c r="E484" s="0" t="n">
        <v>15179</v>
      </c>
      <c r="F484" s="0" t="s">
        <v>1592</v>
      </c>
      <c r="G484" s="0" t="s">
        <v>1512</v>
      </c>
      <c r="H484" s="0" t="s">
        <v>542</v>
      </c>
      <c r="I484" s="0" t="s">
        <v>1593</v>
      </c>
      <c r="J484" s="0" t="s">
        <v>920</v>
      </c>
    </row>
    <row r="485" customFormat="false" ht="15" hidden="false" customHeight="false" outlineLevel="0" collapsed="false">
      <c r="A485" s="0" t="s">
        <v>1132</v>
      </c>
      <c r="B485" s="0" t="n">
        <v>2678</v>
      </c>
      <c r="C485" s="0" t="s">
        <v>271</v>
      </c>
      <c r="E485" s="0" t="n">
        <v>15179</v>
      </c>
      <c r="F485" s="0" t="s">
        <v>1592</v>
      </c>
      <c r="G485" s="0" t="s">
        <v>1512</v>
      </c>
      <c r="H485" s="0" t="s">
        <v>542</v>
      </c>
      <c r="I485" s="0" t="s">
        <v>1593</v>
      </c>
      <c r="J485" s="0" t="s">
        <v>920</v>
      </c>
    </row>
    <row r="486" customFormat="false" ht="15" hidden="false" customHeight="false" outlineLevel="0" collapsed="false">
      <c r="A486" s="0" t="s">
        <v>1132</v>
      </c>
      <c r="B486" s="0" t="n">
        <v>2692</v>
      </c>
      <c r="C486" s="0" t="s">
        <v>275</v>
      </c>
      <c r="E486" s="0" t="n">
        <v>15179</v>
      </c>
      <c r="F486" s="0" t="s">
        <v>1592</v>
      </c>
      <c r="G486" s="0" t="s">
        <v>1512</v>
      </c>
      <c r="H486" s="0" t="s">
        <v>542</v>
      </c>
      <c r="I486" s="0" t="s">
        <v>1593</v>
      </c>
      <c r="J486" s="0" t="s">
        <v>920</v>
      </c>
    </row>
    <row r="487" customFormat="false" ht="15" hidden="false" customHeight="false" outlineLevel="0" collapsed="false">
      <c r="A487" s="0" t="s">
        <v>1132</v>
      </c>
      <c r="B487" s="0" t="n">
        <v>159</v>
      </c>
      <c r="C487" s="0" t="s">
        <v>293</v>
      </c>
      <c r="E487" s="0" t="n">
        <v>4191</v>
      </c>
      <c r="F487" s="0" t="s">
        <v>1594</v>
      </c>
      <c r="G487" s="0" t="s">
        <v>1145</v>
      </c>
      <c r="H487" s="0" t="s">
        <v>977</v>
      </c>
      <c r="I487" s="0" t="s">
        <v>1595</v>
      </c>
      <c r="J487" s="0" t="s">
        <v>874</v>
      </c>
    </row>
    <row r="488" customFormat="false" ht="15" hidden="false" customHeight="false" outlineLevel="0" collapsed="false">
      <c r="A488" s="0" t="s">
        <v>1132</v>
      </c>
      <c r="B488" s="0" t="n">
        <v>1179</v>
      </c>
      <c r="C488" s="0" t="s">
        <v>308</v>
      </c>
      <c r="E488" s="0" t="n">
        <v>4191</v>
      </c>
      <c r="F488" s="0" t="s">
        <v>1594</v>
      </c>
      <c r="G488" s="0" t="s">
        <v>1145</v>
      </c>
      <c r="H488" s="0" t="s">
        <v>977</v>
      </c>
      <c r="I488" s="0" t="s">
        <v>1595</v>
      </c>
      <c r="J488" s="0" t="s">
        <v>874</v>
      </c>
    </row>
    <row r="489" customFormat="false" ht="15" hidden="false" customHeight="false" outlineLevel="0" collapsed="false">
      <c r="A489" s="0" t="s">
        <v>1132</v>
      </c>
      <c r="B489" s="0" t="n">
        <v>4536</v>
      </c>
      <c r="C489" s="0" t="s">
        <v>316</v>
      </c>
      <c r="E489" s="0" t="n">
        <v>4191</v>
      </c>
      <c r="F489" s="0" t="s">
        <v>1594</v>
      </c>
      <c r="G489" s="0" t="s">
        <v>1145</v>
      </c>
      <c r="H489" s="0" t="s">
        <v>977</v>
      </c>
      <c r="I489" s="0" t="s">
        <v>1595</v>
      </c>
      <c r="J489" s="0" t="s">
        <v>874</v>
      </c>
    </row>
    <row r="490" customFormat="false" ht="15" hidden="false" customHeight="false" outlineLevel="0" collapsed="false">
      <c r="A490" s="0" t="s">
        <v>1132</v>
      </c>
      <c r="B490" s="0" t="n">
        <v>4470</v>
      </c>
      <c r="C490" s="0" t="s">
        <v>292</v>
      </c>
      <c r="E490" s="0" t="n">
        <v>4182</v>
      </c>
      <c r="F490" s="0" t="s">
        <v>1596</v>
      </c>
      <c r="G490" s="0" t="s">
        <v>1140</v>
      </c>
      <c r="H490" s="0" t="s">
        <v>977</v>
      </c>
      <c r="I490" s="0" t="s">
        <v>1597</v>
      </c>
      <c r="J490" s="0" t="s">
        <v>874</v>
      </c>
    </row>
    <row r="491" customFormat="false" ht="15" hidden="false" customHeight="false" outlineLevel="0" collapsed="false">
      <c r="A491" s="0" t="s">
        <v>1132</v>
      </c>
      <c r="B491" s="0" t="n">
        <v>159</v>
      </c>
      <c r="C491" s="0" t="s">
        <v>293</v>
      </c>
      <c r="E491" s="0" t="n">
        <v>4182</v>
      </c>
      <c r="F491" s="0" t="s">
        <v>1596</v>
      </c>
      <c r="G491" s="0" t="s">
        <v>1140</v>
      </c>
      <c r="H491" s="0" t="s">
        <v>977</v>
      </c>
      <c r="I491" s="0" t="s">
        <v>1597</v>
      </c>
      <c r="J491" s="0" t="s">
        <v>874</v>
      </c>
    </row>
    <row r="492" customFormat="false" ht="15" hidden="false" customHeight="false" outlineLevel="0" collapsed="false">
      <c r="A492" s="0" t="s">
        <v>1132</v>
      </c>
      <c r="B492" s="0" t="n">
        <v>1179</v>
      </c>
      <c r="C492" s="0" t="s">
        <v>308</v>
      </c>
      <c r="E492" s="0" t="n">
        <v>4182</v>
      </c>
      <c r="F492" s="0" t="s">
        <v>1596</v>
      </c>
      <c r="G492" s="0" t="s">
        <v>1140</v>
      </c>
      <c r="H492" s="0" t="s">
        <v>977</v>
      </c>
      <c r="I492" s="0" t="s">
        <v>1597</v>
      </c>
      <c r="J492" s="0" t="s">
        <v>874</v>
      </c>
    </row>
    <row r="493" customFormat="false" ht="15" hidden="false" customHeight="false" outlineLevel="0" collapsed="false">
      <c r="A493" s="0" t="s">
        <v>1132</v>
      </c>
      <c r="B493" s="0" t="n">
        <v>3713</v>
      </c>
      <c r="C493" s="0" t="s">
        <v>277</v>
      </c>
      <c r="E493" s="0" t="n">
        <v>6301</v>
      </c>
      <c r="F493" s="0" t="s">
        <v>1598</v>
      </c>
      <c r="G493" s="0" t="s">
        <v>1140</v>
      </c>
      <c r="H493" s="0" t="s">
        <v>977</v>
      </c>
      <c r="I493" s="0" t="s">
        <v>1599</v>
      </c>
      <c r="J493" s="0" t="s">
        <v>874</v>
      </c>
    </row>
    <row r="494" customFormat="false" ht="15" hidden="false" customHeight="false" outlineLevel="0" collapsed="false">
      <c r="A494" s="0" t="s">
        <v>1132</v>
      </c>
      <c r="B494" s="0" t="n">
        <v>2678</v>
      </c>
      <c r="C494" s="0" t="s">
        <v>271</v>
      </c>
      <c r="E494" s="0" t="n">
        <v>6301</v>
      </c>
      <c r="F494" s="0" t="s">
        <v>1598</v>
      </c>
      <c r="G494" s="0" t="s">
        <v>1140</v>
      </c>
      <c r="H494" s="0" t="s">
        <v>977</v>
      </c>
      <c r="I494" s="0" t="s">
        <v>1599</v>
      </c>
      <c r="J494" s="0" t="s">
        <v>874</v>
      </c>
    </row>
    <row r="495" customFormat="false" ht="15" hidden="false" customHeight="false" outlineLevel="0" collapsed="false">
      <c r="A495" s="0" t="s">
        <v>1132</v>
      </c>
      <c r="B495" s="0" t="n">
        <v>2692</v>
      </c>
      <c r="C495" s="0" t="s">
        <v>275</v>
      </c>
      <c r="E495" s="0" t="n">
        <v>6301</v>
      </c>
      <c r="F495" s="0" t="s">
        <v>1598</v>
      </c>
      <c r="G495" s="0" t="s">
        <v>1140</v>
      </c>
      <c r="H495" s="0" t="s">
        <v>977</v>
      </c>
      <c r="I495" s="0" t="s">
        <v>1599</v>
      </c>
      <c r="J495" s="0" t="s">
        <v>874</v>
      </c>
    </row>
    <row r="496" customFormat="false" ht="15" hidden="false" customHeight="false" outlineLevel="0" collapsed="false">
      <c r="A496" s="0" t="s">
        <v>1132</v>
      </c>
      <c r="B496" s="0" t="n">
        <v>159</v>
      </c>
      <c r="C496" s="0" t="s">
        <v>293</v>
      </c>
      <c r="E496" s="0" t="n">
        <v>4190</v>
      </c>
      <c r="F496" s="0" t="s">
        <v>1600</v>
      </c>
      <c r="G496" s="0" t="s">
        <v>1148</v>
      </c>
      <c r="H496" s="0" t="s">
        <v>977</v>
      </c>
      <c r="I496" s="0" t="s">
        <v>1601</v>
      </c>
      <c r="J496" s="0" t="s">
        <v>874</v>
      </c>
    </row>
    <row r="497" customFormat="false" ht="15" hidden="false" customHeight="false" outlineLevel="0" collapsed="false">
      <c r="A497" s="0" t="s">
        <v>1132</v>
      </c>
      <c r="B497" s="0" t="n">
        <v>1179</v>
      </c>
      <c r="C497" s="0" t="s">
        <v>308</v>
      </c>
      <c r="E497" s="0" t="n">
        <v>4190</v>
      </c>
      <c r="F497" s="0" t="s">
        <v>1600</v>
      </c>
      <c r="G497" s="0" t="s">
        <v>1148</v>
      </c>
      <c r="H497" s="0" t="s">
        <v>977</v>
      </c>
      <c r="I497" s="0" t="s">
        <v>1601</v>
      </c>
      <c r="J497" s="0" t="s">
        <v>874</v>
      </c>
    </row>
    <row r="498" customFormat="false" ht="15" hidden="false" customHeight="false" outlineLevel="0" collapsed="false">
      <c r="A498" s="0" t="s">
        <v>1132</v>
      </c>
      <c r="B498" s="0" t="n">
        <v>159</v>
      </c>
      <c r="C498" s="0" t="s">
        <v>293</v>
      </c>
      <c r="E498" s="0" t="n">
        <v>6737</v>
      </c>
      <c r="F498" s="0" t="s">
        <v>1602</v>
      </c>
      <c r="G498" s="0" t="s">
        <v>1134</v>
      </c>
      <c r="H498" s="0" t="s">
        <v>977</v>
      </c>
      <c r="I498" s="0" t="s">
        <v>1603</v>
      </c>
      <c r="J498" s="0" t="s">
        <v>874</v>
      </c>
    </row>
    <row r="499" customFormat="false" ht="15" hidden="false" customHeight="false" outlineLevel="0" collapsed="false">
      <c r="A499" s="0" t="s">
        <v>1132</v>
      </c>
      <c r="B499" s="0" t="n">
        <v>1179</v>
      </c>
      <c r="C499" s="0" t="s">
        <v>308</v>
      </c>
      <c r="E499" s="0" t="n">
        <v>6737</v>
      </c>
      <c r="F499" s="0" t="s">
        <v>1602</v>
      </c>
      <c r="G499" s="0" t="s">
        <v>1134</v>
      </c>
      <c r="H499" s="0" t="s">
        <v>977</v>
      </c>
      <c r="I499" s="0" t="s">
        <v>1603</v>
      </c>
      <c r="J499" s="0" t="s">
        <v>874</v>
      </c>
    </row>
    <row r="500" customFormat="false" ht="15" hidden="false" customHeight="false" outlineLevel="0" collapsed="false">
      <c r="A500" s="0" t="s">
        <v>1132</v>
      </c>
      <c r="B500" s="0" t="n">
        <v>159</v>
      </c>
      <c r="C500" s="0" t="s">
        <v>293</v>
      </c>
      <c r="E500" s="0" t="n">
        <v>4192</v>
      </c>
      <c r="F500" s="0" t="s">
        <v>1604</v>
      </c>
      <c r="G500" s="0" t="s">
        <v>1471</v>
      </c>
      <c r="H500" s="0" t="s">
        <v>977</v>
      </c>
      <c r="I500" s="0" t="s">
        <v>1605</v>
      </c>
      <c r="J500" s="0" t="s">
        <v>874</v>
      </c>
    </row>
    <row r="501" customFormat="false" ht="15" hidden="false" customHeight="false" outlineLevel="0" collapsed="false">
      <c r="A501" s="0" t="s">
        <v>1132</v>
      </c>
      <c r="B501" s="0" t="n">
        <v>1179</v>
      </c>
      <c r="C501" s="0" t="s">
        <v>308</v>
      </c>
      <c r="E501" s="0" t="n">
        <v>4192</v>
      </c>
      <c r="F501" s="0" t="s">
        <v>1604</v>
      </c>
      <c r="G501" s="0" t="s">
        <v>1471</v>
      </c>
      <c r="H501" s="0" t="s">
        <v>977</v>
      </c>
      <c r="I501" s="0" t="s">
        <v>1605</v>
      </c>
      <c r="J501" s="0" t="s">
        <v>874</v>
      </c>
    </row>
    <row r="502" customFormat="false" ht="15" hidden="false" customHeight="false" outlineLevel="0" collapsed="false">
      <c r="A502" s="0" t="s">
        <v>1132</v>
      </c>
      <c r="B502" s="0" t="n">
        <v>159</v>
      </c>
      <c r="C502" s="0" t="s">
        <v>293</v>
      </c>
      <c r="E502" s="0" t="n">
        <v>4195</v>
      </c>
      <c r="F502" s="0" t="s">
        <v>1606</v>
      </c>
      <c r="G502" s="0" t="s">
        <v>1145</v>
      </c>
      <c r="H502" s="0" t="s">
        <v>977</v>
      </c>
      <c r="I502" s="0" t="s">
        <v>1607</v>
      </c>
      <c r="J502" s="0" t="s">
        <v>874</v>
      </c>
    </row>
    <row r="503" customFormat="false" ht="15" hidden="false" customHeight="false" outlineLevel="0" collapsed="false">
      <c r="A503" s="0" t="s">
        <v>1132</v>
      </c>
      <c r="B503" s="0" t="n">
        <v>1179</v>
      </c>
      <c r="C503" s="0" t="s">
        <v>308</v>
      </c>
      <c r="E503" s="0" t="n">
        <v>4195</v>
      </c>
      <c r="F503" s="0" t="s">
        <v>1606</v>
      </c>
      <c r="G503" s="0" t="s">
        <v>1145</v>
      </c>
      <c r="H503" s="0" t="s">
        <v>977</v>
      </c>
      <c r="I503" s="0" t="s">
        <v>1607</v>
      </c>
      <c r="J503" s="0" t="s">
        <v>874</v>
      </c>
    </row>
    <row r="504" customFormat="false" ht="15" hidden="false" customHeight="false" outlineLevel="0" collapsed="false">
      <c r="A504" s="0" t="s">
        <v>1132</v>
      </c>
      <c r="B504" s="0" t="n">
        <v>4536</v>
      </c>
      <c r="C504" s="0" t="s">
        <v>316</v>
      </c>
      <c r="E504" s="0" t="n">
        <v>4195</v>
      </c>
      <c r="F504" s="0" t="s">
        <v>1606</v>
      </c>
      <c r="G504" s="0" t="s">
        <v>1145</v>
      </c>
      <c r="H504" s="0" t="s">
        <v>977</v>
      </c>
      <c r="I504" s="0" t="s">
        <v>1607</v>
      </c>
      <c r="J504" s="0" t="s">
        <v>874</v>
      </c>
    </row>
    <row r="505" customFormat="false" ht="15" hidden="false" customHeight="false" outlineLevel="0" collapsed="false">
      <c r="A505" s="0" t="s">
        <v>1132</v>
      </c>
      <c r="B505" s="0" t="n">
        <v>2678</v>
      </c>
      <c r="C505" s="0" t="s">
        <v>271</v>
      </c>
      <c r="E505" s="0" t="n">
        <v>4194</v>
      </c>
      <c r="F505" s="0" t="s">
        <v>1608</v>
      </c>
      <c r="G505" s="0" t="s">
        <v>1137</v>
      </c>
      <c r="H505" s="0" t="s">
        <v>977</v>
      </c>
      <c r="I505" s="0" t="s">
        <v>1609</v>
      </c>
      <c r="J505" s="0" t="s">
        <v>874</v>
      </c>
    </row>
    <row r="506" customFormat="false" ht="15" hidden="false" customHeight="false" outlineLevel="0" collapsed="false">
      <c r="A506" s="0" t="s">
        <v>1132</v>
      </c>
      <c r="B506" s="0" t="n">
        <v>2692</v>
      </c>
      <c r="C506" s="0" t="s">
        <v>275</v>
      </c>
      <c r="E506" s="0" t="n">
        <v>4194</v>
      </c>
      <c r="F506" s="0" t="s">
        <v>1608</v>
      </c>
      <c r="G506" s="0" t="s">
        <v>1137</v>
      </c>
      <c r="H506" s="0" t="s">
        <v>977</v>
      </c>
      <c r="I506" s="0" t="s">
        <v>1609</v>
      </c>
      <c r="J506" s="0" t="s">
        <v>874</v>
      </c>
    </row>
    <row r="507" customFormat="false" ht="15" hidden="false" customHeight="false" outlineLevel="0" collapsed="false">
      <c r="A507" s="0" t="s">
        <v>1132</v>
      </c>
      <c r="B507" s="0" t="n">
        <v>159</v>
      </c>
      <c r="C507" s="0" t="s">
        <v>293</v>
      </c>
      <c r="E507" s="0" t="n">
        <v>3298</v>
      </c>
      <c r="F507" s="0" t="s">
        <v>1610</v>
      </c>
      <c r="G507" s="0" t="s">
        <v>1155</v>
      </c>
      <c r="H507" s="0" t="s">
        <v>1611</v>
      </c>
      <c r="I507" s="0" t="s">
        <v>1612</v>
      </c>
      <c r="J507" s="0" t="s">
        <v>874</v>
      </c>
    </row>
    <row r="508" customFormat="false" ht="15" hidden="false" customHeight="false" outlineLevel="0" collapsed="false">
      <c r="A508" s="0" t="s">
        <v>1132</v>
      </c>
      <c r="B508" s="0" t="n">
        <v>1179</v>
      </c>
      <c r="C508" s="0" t="s">
        <v>308</v>
      </c>
      <c r="E508" s="0" t="n">
        <v>3298</v>
      </c>
      <c r="F508" s="0" t="s">
        <v>1610</v>
      </c>
      <c r="G508" s="0" t="s">
        <v>1155</v>
      </c>
      <c r="H508" s="0" t="s">
        <v>1611</v>
      </c>
      <c r="I508" s="0" t="s">
        <v>1612</v>
      </c>
      <c r="J508" s="0" t="s">
        <v>874</v>
      </c>
    </row>
    <row r="509" customFormat="false" ht="15" hidden="false" customHeight="false" outlineLevel="0" collapsed="false">
      <c r="A509" s="0" t="s">
        <v>1132</v>
      </c>
      <c r="B509" s="0" t="n">
        <v>159</v>
      </c>
      <c r="C509" s="0" t="s">
        <v>293</v>
      </c>
      <c r="E509" s="0" t="n">
        <v>3708</v>
      </c>
      <c r="F509" s="0" t="s">
        <v>1613</v>
      </c>
      <c r="G509" s="0" t="s">
        <v>1161</v>
      </c>
      <c r="H509" s="0" t="s">
        <v>1611</v>
      </c>
      <c r="I509" s="0" t="s">
        <v>1614</v>
      </c>
      <c r="J509" s="0" t="s">
        <v>652</v>
      </c>
    </row>
    <row r="510" customFormat="false" ht="15" hidden="false" customHeight="false" outlineLevel="0" collapsed="false">
      <c r="A510" s="0" t="s">
        <v>1132</v>
      </c>
      <c r="B510" s="0" t="n">
        <v>1179</v>
      </c>
      <c r="C510" s="0" t="s">
        <v>308</v>
      </c>
      <c r="E510" s="0" t="n">
        <v>3708</v>
      </c>
      <c r="F510" s="0" t="s">
        <v>1613</v>
      </c>
      <c r="G510" s="0" t="s">
        <v>1161</v>
      </c>
      <c r="H510" s="0" t="s">
        <v>1611</v>
      </c>
      <c r="I510" s="0" t="s">
        <v>1614</v>
      </c>
      <c r="J510" s="0" t="s">
        <v>652</v>
      </c>
    </row>
    <row r="511" customFormat="false" ht="15" hidden="false" customHeight="false" outlineLevel="0" collapsed="false">
      <c r="A511" s="0" t="s">
        <v>1132</v>
      </c>
      <c r="B511" s="0" t="n">
        <v>159</v>
      </c>
      <c r="C511" s="0" t="s">
        <v>293</v>
      </c>
      <c r="E511" s="0" t="n">
        <v>7733</v>
      </c>
      <c r="F511" s="0" t="s">
        <v>1615</v>
      </c>
      <c r="G511" s="0" t="s">
        <v>1134</v>
      </c>
      <c r="H511" s="0" t="s">
        <v>419</v>
      </c>
      <c r="I511" s="0" t="s">
        <v>1616</v>
      </c>
      <c r="J511" s="0" t="s">
        <v>920</v>
      </c>
    </row>
    <row r="512" customFormat="false" ht="15" hidden="false" customHeight="false" outlineLevel="0" collapsed="false">
      <c r="A512" s="0" t="s">
        <v>1132</v>
      </c>
      <c r="B512" s="0" t="n">
        <v>1179</v>
      </c>
      <c r="C512" s="0" t="s">
        <v>308</v>
      </c>
      <c r="E512" s="0" t="n">
        <v>7733</v>
      </c>
      <c r="F512" s="0" t="s">
        <v>1615</v>
      </c>
      <c r="G512" s="0" t="s">
        <v>1134</v>
      </c>
      <c r="H512" s="0" t="s">
        <v>419</v>
      </c>
      <c r="I512" s="0" t="s">
        <v>1616</v>
      </c>
      <c r="J512" s="0" t="s">
        <v>920</v>
      </c>
    </row>
    <row r="513" customFormat="false" ht="15" hidden="false" customHeight="false" outlineLevel="0" collapsed="false">
      <c r="A513" s="0" t="s">
        <v>1132</v>
      </c>
      <c r="B513" s="0" t="n">
        <v>159</v>
      </c>
      <c r="C513" s="0" t="s">
        <v>293</v>
      </c>
      <c r="E513" s="0" t="n">
        <v>8125</v>
      </c>
      <c r="F513" s="0" t="s">
        <v>1088</v>
      </c>
      <c r="G513" s="0" t="s">
        <v>1277</v>
      </c>
      <c r="H513" s="0" t="s">
        <v>419</v>
      </c>
      <c r="I513" s="0" t="s">
        <v>1089</v>
      </c>
      <c r="J513" s="0" t="s">
        <v>920</v>
      </c>
    </row>
    <row r="514" customFormat="false" ht="15" hidden="false" customHeight="false" outlineLevel="0" collapsed="false">
      <c r="A514" s="0" t="s">
        <v>1132</v>
      </c>
      <c r="B514" s="0" t="n">
        <v>1179</v>
      </c>
      <c r="C514" s="0" t="s">
        <v>308</v>
      </c>
      <c r="E514" s="0" t="n">
        <v>8125</v>
      </c>
      <c r="F514" s="0" t="s">
        <v>1088</v>
      </c>
      <c r="G514" s="0" t="s">
        <v>1277</v>
      </c>
      <c r="H514" s="0" t="s">
        <v>419</v>
      </c>
      <c r="I514" s="0" t="s">
        <v>1089</v>
      </c>
      <c r="J514" s="0" t="s">
        <v>920</v>
      </c>
    </row>
    <row r="515" customFormat="false" ht="15" hidden="false" customHeight="false" outlineLevel="0" collapsed="false">
      <c r="A515" s="0" t="s">
        <v>1132</v>
      </c>
      <c r="B515" s="0" t="n">
        <v>159</v>
      </c>
      <c r="C515" s="0" t="s">
        <v>293</v>
      </c>
      <c r="E515" s="0" t="n">
        <v>8137</v>
      </c>
      <c r="F515" s="0" t="s">
        <v>1617</v>
      </c>
      <c r="G515" s="0" t="s">
        <v>1618</v>
      </c>
      <c r="H515" s="0" t="s">
        <v>419</v>
      </c>
      <c r="I515" s="0" t="s">
        <v>1619</v>
      </c>
      <c r="J515" s="0" t="s">
        <v>920</v>
      </c>
    </row>
    <row r="516" customFormat="false" ht="15" hidden="false" customHeight="false" outlineLevel="0" collapsed="false">
      <c r="A516" s="0" t="s">
        <v>1132</v>
      </c>
      <c r="B516" s="0" t="n">
        <v>1179</v>
      </c>
      <c r="C516" s="0" t="s">
        <v>308</v>
      </c>
      <c r="E516" s="0" t="n">
        <v>8137</v>
      </c>
      <c r="F516" s="0" t="s">
        <v>1617</v>
      </c>
      <c r="G516" s="0" t="s">
        <v>1618</v>
      </c>
      <c r="H516" s="0" t="s">
        <v>419</v>
      </c>
      <c r="I516" s="0" t="s">
        <v>1619</v>
      </c>
      <c r="J516" s="0" t="s">
        <v>920</v>
      </c>
    </row>
    <row r="517" customFormat="false" ht="15" hidden="false" customHeight="false" outlineLevel="0" collapsed="false">
      <c r="A517" s="0" t="s">
        <v>1132</v>
      </c>
      <c r="B517" s="0" t="n">
        <v>4470</v>
      </c>
      <c r="C517" s="0" t="s">
        <v>292</v>
      </c>
      <c r="E517" s="0" t="n">
        <v>8139</v>
      </c>
      <c r="F517" s="0" t="s">
        <v>1620</v>
      </c>
      <c r="G517" s="0" t="s">
        <v>1140</v>
      </c>
      <c r="H517" s="0" t="s">
        <v>419</v>
      </c>
      <c r="I517" s="0" t="s">
        <v>1621</v>
      </c>
      <c r="J517" s="0" t="s">
        <v>920</v>
      </c>
    </row>
    <row r="518" customFormat="false" ht="15" hidden="false" customHeight="false" outlineLevel="0" collapsed="false">
      <c r="A518" s="0" t="s">
        <v>1132</v>
      </c>
      <c r="B518" s="0" t="n">
        <v>159</v>
      </c>
      <c r="C518" s="0" t="s">
        <v>293</v>
      </c>
      <c r="E518" s="0" t="n">
        <v>8139</v>
      </c>
      <c r="F518" s="0" t="s">
        <v>1620</v>
      </c>
      <c r="G518" s="0" t="s">
        <v>1140</v>
      </c>
      <c r="H518" s="0" t="s">
        <v>419</v>
      </c>
      <c r="I518" s="0" t="s">
        <v>1621</v>
      </c>
      <c r="J518" s="0" t="s">
        <v>920</v>
      </c>
    </row>
    <row r="519" customFormat="false" ht="15" hidden="false" customHeight="false" outlineLevel="0" collapsed="false">
      <c r="A519" s="0" t="s">
        <v>1132</v>
      </c>
      <c r="B519" s="0" t="n">
        <v>1179</v>
      </c>
      <c r="C519" s="0" t="s">
        <v>308</v>
      </c>
      <c r="E519" s="0" t="n">
        <v>8139</v>
      </c>
      <c r="F519" s="0" t="s">
        <v>1620</v>
      </c>
      <c r="G519" s="0" t="s">
        <v>1140</v>
      </c>
      <c r="H519" s="0" t="s">
        <v>419</v>
      </c>
      <c r="I519" s="0" t="s">
        <v>1621</v>
      </c>
      <c r="J519" s="0" t="s">
        <v>920</v>
      </c>
    </row>
    <row r="520" customFormat="false" ht="15" hidden="false" customHeight="false" outlineLevel="0" collapsed="false">
      <c r="A520" s="0" t="s">
        <v>1132</v>
      </c>
      <c r="B520" s="0" t="n">
        <v>4470</v>
      </c>
      <c r="C520" s="0" t="s">
        <v>292</v>
      </c>
      <c r="E520" s="0" t="n">
        <v>3608</v>
      </c>
      <c r="F520" s="0" t="s">
        <v>1622</v>
      </c>
      <c r="G520" s="0" t="s">
        <v>1140</v>
      </c>
      <c r="H520" s="0" t="s">
        <v>468</v>
      </c>
      <c r="I520" s="0" t="s">
        <v>1623</v>
      </c>
      <c r="J520" s="0" t="s">
        <v>874</v>
      </c>
    </row>
    <row r="521" customFormat="false" ht="15" hidden="false" customHeight="false" outlineLevel="0" collapsed="false">
      <c r="A521" s="0" t="s">
        <v>1132</v>
      </c>
      <c r="B521" s="0" t="n">
        <v>159</v>
      </c>
      <c r="C521" s="0" t="s">
        <v>293</v>
      </c>
      <c r="E521" s="0" t="n">
        <v>3608</v>
      </c>
      <c r="F521" s="0" t="s">
        <v>1622</v>
      </c>
      <c r="G521" s="0" t="s">
        <v>1140</v>
      </c>
      <c r="H521" s="0" t="s">
        <v>468</v>
      </c>
      <c r="I521" s="0" t="s">
        <v>1623</v>
      </c>
      <c r="J521" s="0" t="s">
        <v>874</v>
      </c>
    </row>
    <row r="522" customFormat="false" ht="15" hidden="false" customHeight="false" outlineLevel="0" collapsed="false">
      <c r="A522" s="0" t="s">
        <v>1132</v>
      </c>
      <c r="B522" s="0" t="n">
        <v>159</v>
      </c>
      <c r="C522" s="0" t="s">
        <v>293</v>
      </c>
      <c r="E522" s="0" t="n">
        <v>4266</v>
      </c>
      <c r="F522" s="0" t="s">
        <v>1624</v>
      </c>
      <c r="G522" s="0" t="s">
        <v>1145</v>
      </c>
      <c r="H522" s="0" t="s">
        <v>468</v>
      </c>
      <c r="I522" s="0" t="s">
        <v>1625</v>
      </c>
      <c r="J522" s="0" t="s">
        <v>874</v>
      </c>
    </row>
    <row r="523" customFormat="false" ht="15" hidden="false" customHeight="false" outlineLevel="0" collapsed="false">
      <c r="A523" s="0" t="s">
        <v>1132</v>
      </c>
      <c r="B523" s="0" t="n">
        <v>1179</v>
      </c>
      <c r="C523" s="0" t="s">
        <v>308</v>
      </c>
      <c r="E523" s="0" t="n">
        <v>4266</v>
      </c>
      <c r="F523" s="0" t="s">
        <v>1624</v>
      </c>
      <c r="G523" s="0" t="s">
        <v>1145</v>
      </c>
      <c r="H523" s="0" t="s">
        <v>468</v>
      </c>
      <c r="I523" s="0" t="s">
        <v>1625</v>
      </c>
      <c r="J523" s="0" t="s">
        <v>874</v>
      </c>
    </row>
    <row r="524" customFormat="false" ht="15" hidden="false" customHeight="false" outlineLevel="0" collapsed="false">
      <c r="A524" s="0" t="s">
        <v>1132</v>
      </c>
      <c r="B524" s="0" t="n">
        <v>159</v>
      </c>
      <c r="C524" s="0" t="s">
        <v>293</v>
      </c>
      <c r="E524" s="0" t="n">
        <v>6091</v>
      </c>
      <c r="F524" s="0" t="s">
        <v>1626</v>
      </c>
      <c r="G524" s="0" t="s">
        <v>1145</v>
      </c>
      <c r="H524" s="0" t="s">
        <v>468</v>
      </c>
      <c r="I524" s="0" t="s">
        <v>1627</v>
      </c>
      <c r="J524" s="0" t="s">
        <v>874</v>
      </c>
    </row>
    <row r="525" customFormat="false" ht="15" hidden="false" customHeight="false" outlineLevel="0" collapsed="false">
      <c r="A525" s="0" t="s">
        <v>1132</v>
      </c>
      <c r="B525" s="0" t="n">
        <v>1179</v>
      </c>
      <c r="C525" s="0" t="s">
        <v>308</v>
      </c>
      <c r="E525" s="0" t="n">
        <v>6091</v>
      </c>
      <c r="F525" s="0" t="s">
        <v>1626</v>
      </c>
      <c r="G525" s="0" t="s">
        <v>1145</v>
      </c>
      <c r="H525" s="0" t="s">
        <v>468</v>
      </c>
      <c r="I525" s="0" t="s">
        <v>1627</v>
      </c>
      <c r="J525" s="0" t="s">
        <v>874</v>
      </c>
    </row>
    <row r="526" customFormat="false" ht="15" hidden="false" customHeight="false" outlineLevel="0" collapsed="false">
      <c r="A526" s="0" t="s">
        <v>1132</v>
      </c>
      <c r="B526" s="0" t="n">
        <v>159</v>
      </c>
      <c r="C526" s="0" t="s">
        <v>293</v>
      </c>
      <c r="E526" s="0" t="n">
        <v>6736</v>
      </c>
      <c r="F526" s="0" t="s">
        <v>1628</v>
      </c>
      <c r="G526" s="0" t="s">
        <v>1134</v>
      </c>
      <c r="H526" s="0" t="s">
        <v>468</v>
      </c>
      <c r="I526" s="0" t="s">
        <v>1629</v>
      </c>
      <c r="J526" s="0" t="s">
        <v>874</v>
      </c>
    </row>
    <row r="527" customFormat="false" ht="15" hidden="false" customHeight="false" outlineLevel="0" collapsed="false">
      <c r="A527" s="0" t="s">
        <v>1132</v>
      </c>
      <c r="B527" s="0" t="n">
        <v>1179</v>
      </c>
      <c r="C527" s="0" t="s">
        <v>308</v>
      </c>
      <c r="E527" s="0" t="n">
        <v>6736</v>
      </c>
      <c r="F527" s="0" t="s">
        <v>1628</v>
      </c>
      <c r="G527" s="0" t="s">
        <v>1134</v>
      </c>
      <c r="H527" s="0" t="s">
        <v>468</v>
      </c>
      <c r="I527" s="0" t="s">
        <v>1629</v>
      </c>
      <c r="J527" s="0" t="s">
        <v>874</v>
      </c>
    </row>
    <row r="528" customFormat="false" ht="15" hidden="false" customHeight="false" outlineLevel="0" collapsed="false">
      <c r="A528" s="0" t="s">
        <v>1132</v>
      </c>
      <c r="B528" s="0" t="n">
        <v>159</v>
      </c>
      <c r="C528" s="0" t="s">
        <v>293</v>
      </c>
      <c r="E528" s="0" t="n">
        <v>3587</v>
      </c>
      <c r="F528" s="0" t="s">
        <v>1630</v>
      </c>
      <c r="G528" s="0" t="s">
        <v>1140</v>
      </c>
      <c r="H528" s="0" t="s">
        <v>468</v>
      </c>
      <c r="I528" s="0" t="s">
        <v>1631</v>
      </c>
      <c r="J528" s="0" t="s">
        <v>874</v>
      </c>
    </row>
    <row r="529" customFormat="false" ht="15" hidden="false" customHeight="false" outlineLevel="0" collapsed="false">
      <c r="A529" s="0" t="s">
        <v>1132</v>
      </c>
      <c r="B529" s="0" t="n">
        <v>2678</v>
      </c>
      <c r="C529" s="0" t="s">
        <v>271</v>
      </c>
      <c r="E529" s="0" t="n">
        <v>3614</v>
      </c>
      <c r="F529" s="0" t="s">
        <v>1632</v>
      </c>
      <c r="G529" s="0" t="s">
        <v>1137</v>
      </c>
      <c r="H529" s="0" t="s">
        <v>468</v>
      </c>
      <c r="I529" s="0" t="s">
        <v>1633</v>
      </c>
      <c r="J529" s="0" t="s">
        <v>874</v>
      </c>
    </row>
    <row r="530" customFormat="false" ht="15" hidden="false" customHeight="false" outlineLevel="0" collapsed="false">
      <c r="A530" s="0" t="s">
        <v>1132</v>
      </c>
      <c r="B530" s="0" t="n">
        <v>159</v>
      </c>
      <c r="C530" s="0" t="s">
        <v>293</v>
      </c>
      <c r="E530" s="0" t="n">
        <v>4265</v>
      </c>
      <c r="F530" s="0" t="s">
        <v>1634</v>
      </c>
      <c r="G530" s="0" t="s">
        <v>1193</v>
      </c>
      <c r="H530" s="0" t="s">
        <v>468</v>
      </c>
      <c r="I530" s="0" t="s">
        <v>1635</v>
      </c>
      <c r="J530" s="0" t="s">
        <v>874</v>
      </c>
    </row>
    <row r="531" customFormat="false" ht="15" hidden="false" customHeight="false" outlineLevel="0" collapsed="false">
      <c r="A531" s="0" t="s">
        <v>1132</v>
      </c>
      <c r="B531" s="0" t="n">
        <v>3713</v>
      </c>
      <c r="C531" s="0" t="s">
        <v>277</v>
      </c>
      <c r="E531" s="0" t="n">
        <v>4265</v>
      </c>
      <c r="F531" s="0" t="s">
        <v>1634</v>
      </c>
      <c r="G531" s="0" t="s">
        <v>1193</v>
      </c>
      <c r="H531" s="0" t="s">
        <v>468</v>
      </c>
      <c r="I531" s="0" t="s">
        <v>1635</v>
      </c>
      <c r="J531" s="0" t="s">
        <v>874</v>
      </c>
    </row>
    <row r="532" customFormat="false" ht="15" hidden="false" customHeight="false" outlineLevel="0" collapsed="false">
      <c r="A532" s="0" t="s">
        <v>1132</v>
      </c>
      <c r="B532" s="0" t="n">
        <v>2678</v>
      </c>
      <c r="C532" s="0" t="s">
        <v>271</v>
      </c>
      <c r="E532" s="0" t="n">
        <v>4265</v>
      </c>
      <c r="F532" s="0" t="s">
        <v>1634</v>
      </c>
      <c r="G532" s="0" t="s">
        <v>1193</v>
      </c>
      <c r="H532" s="0" t="s">
        <v>468</v>
      </c>
      <c r="I532" s="0" t="s">
        <v>1635</v>
      </c>
      <c r="J532" s="0" t="s">
        <v>874</v>
      </c>
    </row>
    <row r="533" customFormat="false" ht="15" hidden="false" customHeight="false" outlineLevel="0" collapsed="false">
      <c r="A533" s="0" t="s">
        <v>1132</v>
      </c>
      <c r="B533" s="0" t="n">
        <v>2692</v>
      </c>
      <c r="C533" s="0" t="s">
        <v>275</v>
      </c>
      <c r="E533" s="0" t="n">
        <v>4265</v>
      </c>
      <c r="F533" s="0" t="s">
        <v>1634</v>
      </c>
      <c r="G533" s="0" t="s">
        <v>1193</v>
      </c>
      <c r="H533" s="0" t="s">
        <v>468</v>
      </c>
      <c r="I533" s="0" t="s">
        <v>1635</v>
      </c>
      <c r="J533" s="0" t="s">
        <v>874</v>
      </c>
    </row>
    <row r="534" customFormat="false" ht="15" hidden="false" customHeight="false" outlineLevel="0" collapsed="false">
      <c r="A534" s="0" t="s">
        <v>1132</v>
      </c>
      <c r="B534" s="0" t="n">
        <v>159</v>
      </c>
      <c r="C534" s="0" t="s">
        <v>293</v>
      </c>
      <c r="E534" s="0" t="n">
        <v>3546</v>
      </c>
      <c r="F534" s="0" t="s">
        <v>1636</v>
      </c>
      <c r="G534" s="0" t="s">
        <v>1161</v>
      </c>
      <c r="H534" s="0" t="s">
        <v>1637</v>
      </c>
      <c r="I534" s="0" t="s">
        <v>1638</v>
      </c>
      <c r="J534" s="0" t="s">
        <v>874</v>
      </c>
    </row>
    <row r="535" customFormat="false" ht="15" hidden="false" customHeight="false" outlineLevel="0" collapsed="false">
      <c r="A535" s="0" t="s">
        <v>1132</v>
      </c>
      <c r="B535" s="0" t="n">
        <v>1179</v>
      </c>
      <c r="C535" s="0" t="s">
        <v>308</v>
      </c>
      <c r="E535" s="0" t="n">
        <v>3546</v>
      </c>
      <c r="F535" s="0" t="s">
        <v>1636</v>
      </c>
      <c r="G535" s="0" t="s">
        <v>1161</v>
      </c>
      <c r="H535" s="0" t="s">
        <v>1637</v>
      </c>
      <c r="I535" s="0" t="s">
        <v>1638</v>
      </c>
      <c r="J535" s="0" t="s">
        <v>874</v>
      </c>
    </row>
    <row r="536" customFormat="false" ht="15" hidden="false" customHeight="false" outlineLevel="0" collapsed="false">
      <c r="A536" s="0" t="s">
        <v>1132</v>
      </c>
      <c r="B536" s="0" t="n">
        <v>159</v>
      </c>
      <c r="C536" s="0" t="s">
        <v>293</v>
      </c>
      <c r="E536" s="0" t="n">
        <v>9356</v>
      </c>
      <c r="F536" s="0" t="s">
        <v>1639</v>
      </c>
      <c r="G536" s="0" t="s">
        <v>1134</v>
      </c>
      <c r="H536" s="0" t="s">
        <v>1077</v>
      </c>
      <c r="I536" s="0" t="s">
        <v>1640</v>
      </c>
      <c r="J536" s="0" t="s">
        <v>652</v>
      </c>
    </row>
    <row r="537" customFormat="false" ht="15" hidden="false" customHeight="false" outlineLevel="0" collapsed="false">
      <c r="A537" s="0" t="s">
        <v>1132</v>
      </c>
      <c r="B537" s="0" t="n">
        <v>1179</v>
      </c>
      <c r="C537" s="0" t="s">
        <v>308</v>
      </c>
      <c r="E537" s="0" t="n">
        <v>9356</v>
      </c>
      <c r="F537" s="0" t="s">
        <v>1639</v>
      </c>
      <c r="G537" s="0" t="s">
        <v>1134</v>
      </c>
      <c r="H537" s="0" t="s">
        <v>1077</v>
      </c>
      <c r="I537" s="0" t="s">
        <v>1640</v>
      </c>
      <c r="J537" s="0" t="s">
        <v>652</v>
      </c>
    </row>
    <row r="538" customFormat="false" ht="15" hidden="false" customHeight="false" outlineLevel="0" collapsed="false">
      <c r="A538" s="0" t="s">
        <v>1132</v>
      </c>
      <c r="B538" s="0" t="n">
        <v>4470</v>
      </c>
      <c r="C538" s="0" t="s">
        <v>292</v>
      </c>
      <c r="E538" s="0" t="n">
        <v>2908</v>
      </c>
      <c r="F538" s="0" t="s">
        <v>1641</v>
      </c>
      <c r="G538" s="0" t="s">
        <v>1140</v>
      </c>
      <c r="H538" s="0" t="s">
        <v>1077</v>
      </c>
      <c r="I538" s="0" t="s">
        <v>1642</v>
      </c>
      <c r="J538" s="0" t="s">
        <v>652</v>
      </c>
    </row>
    <row r="539" customFormat="false" ht="15" hidden="false" customHeight="false" outlineLevel="0" collapsed="false">
      <c r="A539" s="0" t="s">
        <v>1132</v>
      </c>
      <c r="B539" s="0" t="n">
        <v>159</v>
      </c>
      <c r="C539" s="0" t="s">
        <v>293</v>
      </c>
      <c r="E539" s="0" t="n">
        <v>2908</v>
      </c>
      <c r="F539" s="0" t="s">
        <v>1641</v>
      </c>
      <c r="G539" s="0" t="s">
        <v>1140</v>
      </c>
      <c r="H539" s="0" t="s">
        <v>1077</v>
      </c>
      <c r="I539" s="0" t="s">
        <v>1642</v>
      </c>
      <c r="J539" s="0" t="s">
        <v>652</v>
      </c>
    </row>
    <row r="540" customFormat="false" ht="15" hidden="false" customHeight="false" outlineLevel="0" collapsed="false">
      <c r="A540" s="0" t="s">
        <v>1132</v>
      </c>
      <c r="B540" s="0" t="n">
        <v>4470</v>
      </c>
      <c r="C540" s="0" t="s">
        <v>292</v>
      </c>
      <c r="E540" s="0" t="n">
        <v>8362</v>
      </c>
      <c r="F540" s="0" t="s">
        <v>1643</v>
      </c>
      <c r="G540" s="0" t="s">
        <v>1178</v>
      </c>
      <c r="H540" s="0" t="s">
        <v>899</v>
      </c>
      <c r="I540" s="0" t="s">
        <v>1644</v>
      </c>
      <c r="J540" s="0" t="s">
        <v>652</v>
      </c>
    </row>
    <row r="541" customFormat="false" ht="15" hidden="false" customHeight="false" outlineLevel="0" collapsed="false">
      <c r="A541" s="0" t="s">
        <v>1132</v>
      </c>
      <c r="B541" s="0" t="n">
        <v>159</v>
      </c>
      <c r="C541" s="0" t="s">
        <v>293</v>
      </c>
      <c r="E541" s="0" t="n">
        <v>8362</v>
      </c>
      <c r="F541" s="0" t="s">
        <v>1643</v>
      </c>
      <c r="G541" s="0" t="s">
        <v>1178</v>
      </c>
      <c r="H541" s="0" t="s">
        <v>899</v>
      </c>
      <c r="I541" s="0" t="s">
        <v>1644</v>
      </c>
      <c r="J541" s="0" t="s">
        <v>652</v>
      </c>
    </row>
    <row r="542" customFormat="false" ht="15" hidden="false" customHeight="false" outlineLevel="0" collapsed="false">
      <c r="A542" s="0" t="s">
        <v>1132</v>
      </c>
      <c r="B542" s="0" t="n">
        <v>1179</v>
      </c>
      <c r="C542" s="0" t="s">
        <v>308</v>
      </c>
      <c r="E542" s="0" t="n">
        <v>8362</v>
      </c>
      <c r="F542" s="0" t="s">
        <v>1643</v>
      </c>
      <c r="G542" s="0" t="s">
        <v>1178</v>
      </c>
      <c r="H542" s="0" t="s">
        <v>899</v>
      </c>
      <c r="I542" s="0" t="s">
        <v>1644</v>
      </c>
      <c r="J542" s="0" t="s">
        <v>652</v>
      </c>
    </row>
    <row r="543" customFormat="false" ht="15" hidden="false" customHeight="false" outlineLevel="0" collapsed="false">
      <c r="A543" s="0" t="s">
        <v>1132</v>
      </c>
      <c r="B543" s="0" t="n">
        <v>159</v>
      </c>
      <c r="C543" s="0" t="s">
        <v>293</v>
      </c>
      <c r="E543" s="0" t="n">
        <v>3027</v>
      </c>
      <c r="F543" s="0" t="s">
        <v>1645</v>
      </c>
      <c r="G543" s="0" t="s">
        <v>1193</v>
      </c>
      <c r="H543" s="0" t="s">
        <v>899</v>
      </c>
      <c r="I543" s="0" t="s">
        <v>1646</v>
      </c>
      <c r="J543" s="0" t="s">
        <v>652</v>
      </c>
    </row>
    <row r="544" customFormat="false" ht="15" hidden="false" customHeight="false" outlineLevel="0" collapsed="false">
      <c r="A544" s="0" t="s">
        <v>1132</v>
      </c>
      <c r="B544" s="0" t="n">
        <v>3713</v>
      </c>
      <c r="C544" s="0" t="s">
        <v>277</v>
      </c>
      <c r="E544" s="0" t="n">
        <v>3027</v>
      </c>
      <c r="F544" s="0" t="s">
        <v>1645</v>
      </c>
      <c r="G544" s="0" t="s">
        <v>1193</v>
      </c>
      <c r="H544" s="0" t="s">
        <v>899</v>
      </c>
      <c r="I544" s="0" t="s">
        <v>1646</v>
      </c>
      <c r="J544" s="0" t="s">
        <v>652</v>
      </c>
    </row>
    <row r="545" customFormat="false" ht="15" hidden="false" customHeight="false" outlineLevel="0" collapsed="false">
      <c r="A545" s="0" t="s">
        <v>1132</v>
      </c>
      <c r="B545" s="0" t="n">
        <v>2678</v>
      </c>
      <c r="C545" s="0" t="s">
        <v>271</v>
      </c>
      <c r="E545" s="0" t="n">
        <v>3027</v>
      </c>
      <c r="F545" s="0" t="s">
        <v>1645</v>
      </c>
      <c r="G545" s="0" t="s">
        <v>1193</v>
      </c>
      <c r="H545" s="0" t="s">
        <v>899</v>
      </c>
      <c r="I545" s="0" t="s">
        <v>1646</v>
      </c>
      <c r="J545" s="0" t="s">
        <v>652</v>
      </c>
    </row>
    <row r="546" customFormat="false" ht="15" hidden="false" customHeight="false" outlineLevel="0" collapsed="false">
      <c r="A546" s="0" t="s">
        <v>1132</v>
      </c>
      <c r="B546" s="0" t="n">
        <v>2692</v>
      </c>
      <c r="C546" s="0" t="s">
        <v>275</v>
      </c>
      <c r="E546" s="0" t="n">
        <v>3027</v>
      </c>
      <c r="F546" s="0" t="s">
        <v>1645</v>
      </c>
      <c r="G546" s="0" t="s">
        <v>1193</v>
      </c>
      <c r="H546" s="0" t="s">
        <v>899</v>
      </c>
      <c r="I546" s="0" t="s">
        <v>1646</v>
      </c>
      <c r="J546" s="0" t="s">
        <v>652</v>
      </c>
    </row>
    <row r="547" customFormat="false" ht="15" hidden="false" customHeight="false" outlineLevel="0" collapsed="false">
      <c r="A547" s="0" t="s">
        <v>1132</v>
      </c>
      <c r="B547" s="0" t="n">
        <v>4536</v>
      </c>
      <c r="C547" s="0" t="s">
        <v>316</v>
      </c>
      <c r="E547" s="0" t="n">
        <v>3017</v>
      </c>
      <c r="F547" s="0" t="s">
        <v>1647</v>
      </c>
      <c r="G547" s="0" t="s">
        <v>1570</v>
      </c>
      <c r="H547" s="0" t="s">
        <v>899</v>
      </c>
      <c r="I547" s="0" t="s">
        <v>1648</v>
      </c>
      <c r="J547" s="0" t="s">
        <v>652</v>
      </c>
    </row>
    <row r="548" customFormat="false" ht="15" hidden="false" customHeight="false" outlineLevel="0" collapsed="false">
      <c r="A548" s="0" t="s">
        <v>1132</v>
      </c>
      <c r="B548" s="0" t="n">
        <v>4470</v>
      </c>
      <c r="C548" s="0" t="s">
        <v>292</v>
      </c>
      <c r="E548" s="0" t="n">
        <v>3012</v>
      </c>
      <c r="F548" s="0" t="s">
        <v>1649</v>
      </c>
      <c r="G548" s="0" t="s">
        <v>1202</v>
      </c>
      <c r="H548" s="0" t="s">
        <v>899</v>
      </c>
      <c r="I548" s="0" t="s">
        <v>1650</v>
      </c>
      <c r="J548" s="0" t="s">
        <v>652</v>
      </c>
    </row>
    <row r="549" customFormat="false" ht="15" hidden="false" customHeight="false" outlineLevel="0" collapsed="false">
      <c r="A549" s="0" t="s">
        <v>1132</v>
      </c>
      <c r="B549" s="0" t="n">
        <v>159</v>
      </c>
      <c r="C549" s="0" t="s">
        <v>293</v>
      </c>
      <c r="E549" s="0" t="n">
        <v>6746</v>
      </c>
      <c r="F549" s="0" t="s">
        <v>1651</v>
      </c>
      <c r="G549" s="0" t="s">
        <v>1134</v>
      </c>
      <c r="H549" s="0" t="s">
        <v>899</v>
      </c>
      <c r="I549" s="0" t="s">
        <v>1652</v>
      </c>
      <c r="J549" s="0" t="s">
        <v>652</v>
      </c>
    </row>
    <row r="550" customFormat="false" ht="15" hidden="false" customHeight="false" outlineLevel="0" collapsed="false">
      <c r="A550" s="0" t="s">
        <v>1132</v>
      </c>
      <c r="B550" s="0" t="n">
        <v>1179</v>
      </c>
      <c r="C550" s="0" t="s">
        <v>308</v>
      </c>
      <c r="E550" s="0" t="n">
        <v>6746</v>
      </c>
      <c r="F550" s="0" t="s">
        <v>1651</v>
      </c>
      <c r="G550" s="0" t="s">
        <v>1134</v>
      </c>
      <c r="H550" s="0" t="s">
        <v>899</v>
      </c>
      <c r="I550" s="0" t="s">
        <v>1652</v>
      </c>
      <c r="J550" s="0" t="s">
        <v>652</v>
      </c>
    </row>
    <row r="551" customFormat="false" ht="15" hidden="false" customHeight="false" outlineLevel="0" collapsed="false">
      <c r="A551" s="0" t="s">
        <v>1132</v>
      </c>
      <c r="B551" s="0" t="n">
        <v>17196</v>
      </c>
      <c r="C551" s="0" t="s">
        <v>309</v>
      </c>
      <c r="E551" s="0" t="n">
        <v>13432</v>
      </c>
      <c r="F551" s="0" t="s">
        <v>1653</v>
      </c>
      <c r="G551" s="0" t="s">
        <v>1210</v>
      </c>
      <c r="H551" s="0" t="s">
        <v>899</v>
      </c>
      <c r="I551" s="0" t="s">
        <v>1654</v>
      </c>
      <c r="J551" s="0" t="s">
        <v>920</v>
      </c>
    </row>
    <row r="552" customFormat="false" ht="15" hidden="false" customHeight="false" outlineLevel="0" collapsed="false">
      <c r="A552" s="0" t="s">
        <v>1132</v>
      </c>
      <c r="B552" s="0" t="n">
        <v>17194</v>
      </c>
      <c r="C552" s="0" t="s">
        <v>301</v>
      </c>
      <c r="E552" s="0" t="n">
        <v>13432</v>
      </c>
      <c r="F552" s="0" t="s">
        <v>1653</v>
      </c>
      <c r="G552" s="0" t="s">
        <v>1210</v>
      </c>
      <c r="H552" s="0" t="s">
        <v>899</v>
      </c>
      <c r="I552" s="0" t="s">
        <v>1654</v>
      </c>
      <c r="J552" s="0" t="s">
        <v>920</v>
      </c>
    </row>
    <row r="553" customFormat="false" ht="15" hidden="false" customHeight="false" outlineLevel="0" collapsed="false">
      <c r="A553" s="0" t="s">
        <v>1132</v>
      </c>
      <c r="B553" s="0" t="n">
        <v>3713</v>
      </c>
      <c r="C553" s="0" t="s">
        <v>277</v>
      </c>
      <c r="E553" s="0" t="n">
        <v>8363</v>
      </c>
      <c r="F553" s="0" t="s">
        <v>1655</v>
      </c>
      <c r="G553" s="0" t="s">
        <v>1137</v>
      </c>
      <c r="H553" s="0" t="s">
        <v>899</v>
      </c>
      <c r="I553" s="0" t="s">
        <v>1656</v>
      </c>
      <c r="J553" s="0" t="s">
        <v>652</v>
      </c>
    </row>
    <row r="554" customFormat="false" ht="15" hidden="false" customHeight="false" outlineLevel="0" collapsed="false">
      <c r="A554" s="0" t="s">
        <v>1132</v>
      </c>
      <c r="B554" s="0" t="n">
        <v>2678</v>
      </c>
      <c r="C554" s="0" t="s">
        <v>271</v>
      </c>
      <c r="E554" s="0" t="n">
        <v>8363</v>
      </c>
      <c r="F554" s="0" t="s">
        <v>1655</v>
      </c>
      <c r="G554" s="0" t="s">
        <v>1137</v>
      </c>
      <c r="H554" s="0" t="s">
        <v>899</v>
      </c>
      <c r="I554" s="0" t="s">
        <v>1656</v>
      </c>
      <c r="J554" s="0" t="s">
        <v>652</v>
      </c>
    </row>
    <row r="555" customFormat="false" ht="15" hidden="false" customHeight="false" outlineLevel="0" collapsed="false">
      <c r="A555" s="0" t="s">
        <v>1132</v>
      </c>
      <c r="B555" s="0" t="n">
        <v>2692</v>
      </c>
      <c r="C555" s="0" t="s">
        <v>275</v>
      </c>
      <c r="E555" s="0" t="n">
        <v>8363</v>
      </c>
      <c r="F555" s="0" t="s">
        <v>1655</v>
      </c>
      <c r="G555" s="0" t="s">
        <v>1137</v>
      </c>
      <c r="H555" s="0" t="s">
        <v>899</v>
      </c>
      <c r="I555" s="0" t="s">
        <v>1656</v>
      </c>
      <c r="J555" s="0" t="s">
        <v>652</v>
      </c>
    </row>
    <row r="556" customFormat="false" ht="15" hidden="false" customHeight="false" outlineLevel="0" collapsed="false">
      <c r="A556" s="0" t="s">
        <v>1132</v>
      </c>
      <c r="B556" s="0" t="n">
        <v>3713</v>
      </c>
      <c r="C556" s="0" t="s">
        <v>277</v>
      </c>
      <c r="E556" s="0" t="n">
        <v>4561</v>
      </c>
      <c r="F556" s="0" t="s">
        <v>564</v>
      </c>
      <c r="G556" s="0" t="s">
        <v>1140</v>
      </c>
      <c r="H556" s="0" t="s">
        <v>531</v>
      </c>
      <c r="I556" s="0" t="s">
        <v>1657</v>
      </c>
      <c r="J556" s="0" t="s">
        <v>652</v>
      </c>
    </row>
    <row r="557" customFormat="false" ht="15" hidden="false" customHeight="false" outlineLevel="0" collapsed="false">
      <c r="A557" s="0" t="s">
        <v>1132</v>
      </c>
      <c r="B557" s="0" t="n">
        <v>2678</v>
      </c>
      <c r="C557" s="0" t="s">
        <v>271</v>
      </c>
      <c r="E557" s="0" t="n">
        <v>4561</v>
      </c>
      <c r="F557" s="0" t="s">
        <v>564</v>
      </c>
      <c r="G557" s="0" t="s">
        <v>1140</v>
      </c>
      <c r="H557" s="0" t="s">
        <v>531</v>
      </c>
      <c r="I557" s="0" t="s">
        <v>1657</v>
      </c>
      <c r="J557" s="0" t="s">
        <v>652</v>
      </c>
    </row>
    <row r="558" customFormat="false" ht="15" hidden="false" customHeight="false" outlineLevel="0" collapsed="false">
      <c r="A558" s="0" t="s">
        <v>1132</v>
      </c>
      <c r="B558" s="0" t="n">
        <v>2692</v>
      </c>
      <c r="C558" s="0" t="s">
        <v>275</v>
      </c>
      <c r="E558" s="0" t="n">
        <v>4561</v>
      </c>
      <c r="F558" s="0" t="s">
        <v>564</v>
      </c>
      <c r="G558" s="0" t="s">
        <v>1140</v>
      </c>
      <c r="H558" s="0" t="s">
        <v>531</v>
      </c>
      <c r="I558" s="0" t="s">
        <v>1657</v>
      </c>
      <c r="J558" s="0" t="s">
        <v>652</v>
      </c>
    </row>
    <row r="559" customFormat="false" ht="15" hidden="false" customHeight="false" outlineLevel="0" collapsed="false">
      <c r="A559" s="0" t="s">
        <v>1132</v>
      </c>
      <c r="B559" s="0" t="n">
        <v>4470</v>
      </c>
      <c r="C559" s="0" t="s">
        <v>292</v>
      </c>
      <c r="E559" s="0" t="n">
        <v>4555</v>
      </c>
      <c r="F559" s="0" t="s">
        <v>561</v>
      </c>
      <c r="G559" s="0" t="s">
        <v>1178</v>
      </c>
      <c r="H559" s="0" t="s">
        <v>531</v>
      </c>
      <c r="I559" s="0" t="s">
        <v>1658</v>
      </c>
      <c r="J559" s="0" t="s">
        <v>652</v>
      </c>
    </row>
    <row r="560" customFormat="false" ht="15" hidden="false" customHeight="false" outlineLevel="0" collapsed="false">
      <c r="A560" s="0" t="s">
        <v>1132</v>
      </c>
      <c r="B560" s="0" t="n">
        <v>159</v>
      </c>
      <c r="C560" s="0" t="s">
        <v>293</v>
      </c>
      <c r="E560" s="0" t="n">
        <v>4555</v>
      </c>
      <c r="F560" s="0" t="s">
        <v>561</v>
      </c>
      <c r="G560" s="0" t="s">
        <v>1178</v>
      </c>
      <c r="H560" s="0" t="s">
        <v>531</v>
      </c>
      <c r="I560" s="0" t="s">
        <v>1658</v>
      </c>
      <c r="J560" s="0" t="s">
        <v>652</v>
      </c>
    </row>
    <row r="561" customFormat="false" ht="15" hidden="false" customHeight="false" outlineLevel="0" collapsed="false">
      <c r="A561" s="0" t="s">
        <v>1132</v>
      </c>
      <c r="B561" s="0" t="n">
        <v>1179</v>
      </c>
      <c r="C561" s="0" t="s">
        <v>308</v>
      </c>
      <c r="E561" s="0" t="n">
        <v>4555</v>
      </c>
      <c r="F561" s="0" t="s">
        <v>561</v>
      </c>
      <c r="G561" s="0" t="s">
        <v>1178</v>
      </c>
      <c r="H561" s="0" t="s">
        <v>531</v>
      </c>
      <c r="I561" s="0" t="s">
        <v>1658</v>
      </c>
      <c r="J561" s="0" t="s">
        <v>652</v>
      </c>
    </row>
    <row r="562" customFormat="false" ht="15" hidden="false" customHeight="false" outlineLevel="0" collapsed="false">
      <c r="A562" s="0" t="s">
        <v>1132</v>
      </c>
      <c r="B562" s="0" t="n">
        <v>3713</v>
      </c>
      <c r="C562" s="0" t="s">
        <v>277</v>
      </c>
      <c r="E562" s="0" t="n">
        <v>4775</v>
      </c>
      <c r="F562" s="0" t="s">
        <v>563</v>
      </c>
      <c r="G562" s="0" t="s">
        <v>1512</v>
      </c>
      <c r="H562" s="0" t="s">
        <v>531</v>
      </c>
      <c r="I562" s="0" t="s">
        <v>1659</v>
      </c>
      <c r="J562" s="0" t="s">
        <v>652</v>
      </c>
    </row>
    <row r="563" customFormat="false" ht="15" hidden="false" customHeight="false" outlineLevel="0" collapsed="false">
      <c r="A563" s="0" t="s">
        <v>1132</v>
      </c>
      <c r="B563" s="0" t="n">
        <v>2678</v>
      </c>
      <c r="C563" s="0" t="s">
        <v>271</v>
      </c>
      <c r="E563" s="0" t="n">
        <v>4775</v>
      </c>
      <c r="F563" s="0" t="s">
        <v>563</v>
      </c>
      <c r="G563" s="0" t="s">
        <v>1512</v>
      </c>
      <c r="H563" s="0" t="s">
        <v>531</v>
      </c>
      <c r="I563" s="0" t="s">
        <v>1659</v>
      </c>
      <c r="J563" s="0" t="s">
        <v>652</v>
      </c>
    </row>
    <row r="564" customFormat="false" ht="15" hidden="false" customHeight="false" outlineLevel="0" collapsed="false">
      <c r="A564" s="0" t="s">
        <v>1132</v>
      </c>
      <c r="B564" s="0" t="n">
        <v>2692</v>
      </c>
      <c r="C564" s="0" t="s">
        <v>275</v>
      </c>
      <c r="E564" s="0" t="n">
        <v>4775</v>
      </c>
      <c r="F564" s="0" t="s">
        <v>563</v>
      </c>
      <c r="G564" s="0" t="s">
        <v>1512</v>
      </c>
      <c r="H564" s="0" t="s">
        <v>531</v>
      </c>
      <c r="I564" s="0" t="s">
        <v>1659</v>
      </c>
      <c r="J564" s="0" t="s">
        <v>652</v>
      </c>
    </row>
    <row r="565" customFormat="false" ht="15" hidden="false" customHeight="false" outlineLevel="0" collapsed="false">
      <c r="A565" s="0" t="s">
        <v>1132</v>
      </c>
      <c r="B565" s="0" t="n">
        <v>159</v>
      </c>
      <c r="C565" s="0" t="s">
        <v>293</v>
      </c>
      <c r="E565" s="0" t="n">
        <v>4571</v>
      </c>
      <c r="F565" s="0" t="s">
        <v>1660</v>
      </c>
      <c r="G565" s="0" t="s">
        <v>1661</v>
      </c>
      <c r="H565" s="0" t="s">
        <v>531</v>
      </c>
      <c r="I565" s="0" t="s">
        <v>1662</v>
      </c>
      <c r="J565" s="0" t="s">
        <v>652</v>
      </c>
    </row>
    <row r="566" customFormat="false" ht="15" hidden="false" customHeight="false" outlineLevel="0" collapsed="false">
      <c r="A566" s="0" t="s">
        <v>1132</v>
      </c>
      <c r="B566" s="0" t="n">
        <v>1179</v>
      </c>
      <c r="C566" s="0" t="s">
        <v>308</v>
      </c>
      <c r="E566" s="0" t="n">
        <v>4571</v>
      </c>
      <c r="F566" s="0" t="s">
        <v>1660</v>
      </c>
      <c r="G566" s="0" t="s">
        <v>1661</v>
      </c>
      <c r="H566" s="0" t="s">
        <v>531</v>
      </c>
      <c r="I566" s="0" t="s">
        <v>1662</v>
      </c>
      <c r="J566" s="0" t="s">
        <v>652</v>
      </c>
    </row>
    <row r="567" customFormat="false" ht="15" hidden="false" customHeight="false" outlineLevel="0" collapsed="false">
      <c r="A567" s="0" t="s">
        <v>1132</v>
      </c>
      <c r="B567" s="0" t="n">
        <v>17196</v>
      </c>
      <c r="C567" s="0" t="s">
        <v>309</v>
      </c>
      <c r="E567" s="0" t="n">
        <v>13429</v>
      </c>
      <c r="F567" s="0" t="s">
        <v>1663</v>
      </c>
      <c r="G567" s="0" t="s">
        <v>1210</v>
      </c>
      <c r="H567" s="0" t="s">
        <v>531</v>
      </c>
      <c r="I567" s="0" t="s">
        <v>1664</v>
      </c>
      <c r="J567" s="0" t="s">
        <v>920</v>
      </c>
    </row>
    <row r="568" customFormat="false" ht="15" hidden="false" customHeight="false" outlineLevel="0" collapsed="false">
      <c r="A568" s="0" t="s">
        <v>1132</v>
      </c>
      <c r="B568" s="0" t="n">
        <v>17194</v>
      </c>
      <c r="C568" s="0" t="s">
        <v>301</v>
      </c>
      <c r="E568" s="0" t="n">
        <v>13429</v>
      </c>
      <c r="F568" s="0" t="s">
        <v>1663</v>
      </c>
      <c r="G568" s="0" t="s">
        <v>1210</v>
      </c>
      <c r="H568" s="0" t="s">
        <v>531</v>
      </c>
      <c r="I568" s="0" t="s">
        <v>1664</v>
      </c>
      <c r="J568" s="0" t="s">
        <v>920</v>
      </c>
    </row>
    <row r="569" customFormat="false" ht="15" hidden="false" customHeight="false" outlineLevel="0" collapsed="false">
      <c r="A569" s="0" t="s">
        <v>1132</v>
      </c>
      <c r="B569" s="0" t="n">
        <v>159</v>
      </c>
      <c r="C569" s="0" t="s">
        <v>293</v>
      </c>
      <c r="E569" s="0" t="n">
        <v>6741</v>
      </c>
      <c r="F569" s="0" t="s">
        <v>559</v>
      </c>
      <c r="G569" s="0" t="s">
        <v>1134</v>
      </c>
      <c r="H569" s="0" t="s">
        <v>531</v>
      </c>
      <c r="I569" s="0" t="s">
        <v>1665</v>
      </c>
      <c r="J569" s="0" t="s">
        <v>652</v>
      </c>
    </row>
    <row r="570" customFormat="false" ht="15" hidden="false" customHeight="false" outlineLevel="0" collapsed="false">
      <c r="A570" s="0" t="s">
        <v>1132</v>
      </c>
      <c r="B570" s="0" t="n">
        <v>1179</v>
      </c>
      <c r="C570" s="0" t="s">
        <v>308</v>
      </c>
      <c r="E570" s="0" t="n">
        <v>6741</v>
      </c>
      <c r="F570" s="0" t="s">
        <v>559</v>
      </c>
      <c r="G570" s="0" t="s">
        <v>1134</v>
      </c>
      <c r="H570" s="0" t="s">
        <v>531</v>
      </c>
      <c r="I570" s="0" t="s">
        <v>1665</v>
      </c>
      <c r="J570" s="0" t="s">
        <v>652</v>
      </c>
    </row>
    <row r="571" customFormat="false" ht="15" hidden="false" customHeight="false" outlineLevel="0" collapsed="false">
      <c r="A571" s="0" t="s">
        <v>1132</v>
      </c>
      <c r="B571" s="0" t="n">
        <v>159</v>
      </c>
      <c r="C571" s="0" t="s">
        <v>293</v>
      </c>
      <c r="E571" s="0" t="n">
        <v>4553</v>
      </c>
      <c r="F571" s="0" t="s">
        <v>691</v>
      </c>
      <c r="G571" s="0" t="s">
        <v>1193</v>
      </c>
      <c r="H571" s="0" t="s">
        <v>531</v>
      </c>
      <c r="I571" s="0" t="s">
        <v>1666</v>
      </c>
      <c r="J571" s="0" t="s">
        <v>652</v>
      </c>
    </row>
    <row r="572" customFormat="false" ht="15" hidden="false" customHeight="false" outlineLevel="0" collapsed="false">
      <c r="A572" s="0" t="s">
        <v>1132</v>
      </c>
      <c r="B572" s="0" t="n">
        <v>3713</v>
      </c>
      <c r="C572" s="0" t="s">
        <v>277</v>
      </c>
      <c r="E572" s="0" t="n">
        <v>4553</v>
      </c>
      <c r="F572" s="0" t="s">
        <v>691</v>
      </c>
      <c r="G572" s="0" t="s">
        <v>1193</v>
      </c>
      <c r="H572" s="0" t="s">
        <v>531</v>
      </c>
      <c r="I572" s="0" t="s">
        <v>1666</v>
      </c>
      <c r="J572" s="0" t="s">
        <v>652</v>
      </c>
    </row>
    <row r="573" customFormat="false" ht="15" hidden="false" customHeight="false" outlineLevel="0" collapsed="false">
      <c r="A573" s="0" t="s">
        <v>1132</v>
      </c>
      <c r="B573" s="0" t="n">
        <v>2678</v>
      </c>
      <c r="C573" s="0" t="s">
        <v>271</v>
      </c>
      <c r="E573" s="0" t="n">
        <v>4553</v>
      </c>
      <c r="F573" s="0" t="s">
        <v>691</v>
      </c>
      <c r="G573" s="0" t="s">
        <v>1193</v>
      </c>
      <c r="H573" s="0" t="s">
        <v>531</v>
      </c>
      <c r="I573" s="0" t="s">
        <v>1666</v>
      </c>
      <c r="J573" s="0" t="s">
        <v>652</v>
      </c>
    </row>
    <row r="574" customFormat="false" ht="15" hidden="false" customHeight="false" outlineLevel="0" collapsed="false">
      <c r="A574" s="0" t="s">
        <v>1132</v>
      </c>
      <c r="B574" s="0" t="n">
        <v>2692</v>
      </c>
      <c r="C574" s="0" t="s">
        <v>275</v>
      </c>
      <c r="E574" s="0" t="n">
        <v>4553</v>
      </c>
      <c r="F574" s="0" t="s">
        <v>691</v>
      </c>
      <c r="G574" s="0" t="s">
        <v>1193</v>
      </c>
      <c r="H574" s="0" t="s">
        <v>531</v>
      </c>
      <c r="I574" s="0" t="s">
        <v>1666</v>
      </c>
      <c r="J574" s="0" t="s">
        <v>652</v>
      </c>
    </row>
    <row r="575" customFormat="false" ht="15" hidden="false" customHeight="false" outlineLevel="0" collapsed="false">
      <c r="A575" s="0" t="s">
        <v>1132</v>
      </c>
      <c r="B575" s="0" t="n">
        <v>159</v>
      </c>
      <c r="C575" s="0" t="s">
        <v>293</v>
      </c>
      <c r="E575" s="0" t="n">
        <v>4554</v>
      </c>
      <c r="F575" s="0" t="s">
        <v>1667</v>
      </c>
      <c r="G575" s="0" t="s">
        <v>1661</v>
      </c>
      <c r="H575" s="0" t="s">
        <v>531</v>
      </c>
      <c r="I575" s="0" t="s">
        <v>1668</v>
      </c>
      <c r="J575" s="0" t="s">
        <v>652</v>
      </c>
    </row>
    <row r="576" customFormat="false" ht="15" hidden="false" customHeight="false" outlineLevel="0" collapsed="false">
      <c r="A576" s="0" t="s">
        <v>1132</v>
      </c>
      <c r="B576" s="0" t="n">
        <v>1179</v>
      </c>
      <c r="C576" s="0" t="s">
        <v>308</v>
      </c>
      <c r="E576" s="0" t="n">
        <v>4554</v>
      </c>
      <c r="F576" s="0" t="s">
        <v>1667</v>
      </c>
      <c r="G576" s="0" t="s">
        <v>1661</v>
      </c>
      <c r="H576" s="0" t="s">
        <v>531</v>
      </c>
      <c r="I576" s="0" t="s">
        <v>1668</v>
      </c>
      <c r="J576" s="0" t="s">
        <v>652</v>
      </c>
    </row>
    <row r="577" customFormat="false" ht="15" hidden="false" customHeight="false" outlineLevel="0" collapsed="false">
      <c r="A577" s="0" t="s">
        <v>1132</v>
      </c>
      <c r="B577" s="0" t="n">
        <v>4470</v>
      </c>
      <c r="C577" s="0" t="s">
        <v>292</v>
      </c>
      <c r="E577" s="0" t="n">
        <v>4617</v>
      </c>
      <c r="F577" s="0" t="s">
        <v>562</v>
      </c>
      <c r="G577" s="0" t="s">
        <v>1202</v>
      </c>
      <c r="H577" s="0" t="s">
        <v>531</v>
      </c>
      <c r="I577" s="0" t="s">
        <v>1669</v>
      </c>
      <c r="J577" s="0" t="s">
        <v>652</v>
      </c>
    </row>
    <row r="578" customFormat="false" ht="15" hidden="false" customHeight="false" outlineLevel="0" collapsed="false">
      <c r="A578" s="0" t="s">
        <v>1132</v>
      </c>
      <c r="B578" s="0" t="n">
        <v>159</v>
      </c>
      <c r="C578" s="0" t="s">
        <v>293</v>
      </c>
      <c r="E578" s="0" t="n">
        <v>4255</v>
      </c>
      <c r="F578" s="0" t="s">
        <v>1670</v>
      </c>
      <c r="G578" s="0" t="s">
        <v>1161</v>
      </c>
      <c r="H578" s="0" t="s">
        <v>1671</v>
      </c>
      <c r="I578" s="0" t="s">
        <v>1672</v>
      </c>
      <c r="J578" s="0" t="s">
        <v>874</v>
      </c>
    </row>
    <row r="579" customFormat="false" ht="15" hidden="false" customHeight="false" outlineLevel="0" collapsed="false">
      <c r="A579" s="0" t="s">
        <v>1132</v>
      </c>
      <c r="B579" s="0" t="n">
        <v>1179</v>
      </c>
      <c r="C579" s="0" t="s">
        <v>308</v>
      </c>
      <c r="E579" s="0" t="n">
        <v>4255</v>
      </c>
      <c r="F579" s="0" t="s">
        <v>1670</v>
      </c>
      <c r="G579" s="0" t="s">
        <v>1161</v>
      </c>
      <c r="H579" s="0" t="s">
        <v>1671</v>
      </c>
      <c r="I579" s="0" t="s">
        <v>1672</v>
      </c>
      <c r="J579" s="0" t="s">
        <v>874</v>
      </c>
    </row>
    <row r="580" customFormat="false" ht="15" hidden="false" customHeight="false" outlineLevel="0" collapsed="false">
      <c r="A580" s="0" t="s">
        <v>1132</v>
      </c>
      <c r="B580" s="0" t="n">
        <v>4536</v>
      </c>
      <c r="C580" s="0" t="s">
        <v>316</v>
      </c>
      <c r="E580" s="0" t="n">
        <v>4255</v>
      </c>
      <c r="F580" s="0" t="s">
        <v>1670</v>
      </c>
      <c r="G580" s="0" t="s">
        <v>1161</v>
      </c>
      <c r="H580" s="0" t="s">
        <v>1671</v>
      </c>
      <c r="I580" s="0" t="s">
        <v>1672</v>
      </c>
      <c r="J580" s="0" t="s">
        <v>874</v>
      </c>
    </row>
    <row r="581" customFormat="false" ht="15" hidden="false" customHeight="false" outlineLevel="0" collapsed="false">
      <c r="A581" s="0" t="s">
        <v>1132</v>
      </c>
      <c r="B581" s="0" t="n">
        <v>4470</v>
      </c>
      <c r="C581" s="0" t="s">
        <v>292</v>
      </c>
      <c r="E581" s="0" t="n">
        <v>5134</v>
      </c>
      <c r="F581" s="0" t="s">
        <v>1673</v>
      </c>
      <c r="G581" s="0" t="s">
        <v>1140</v>
      </c>
      <c r="H581" s="0" t="s">
        <v>1671</v>
      </c>
      <c r="I581" s="0" t="s">
        <v>1674</v>
      </c>
      <c r="J581" s="0" t="s">
        <v>874</v>
      </c>
    </row>
    <row r="582" customFormat="false" ht="15" hidden="false" customHeight="false" outlineLevel="0" collapsed="false">
      <c r="A582" s="0" t="s">
        <v>1132</v>
      </c>
      <c r="B582" s="0" t="n">
        <v>159</v>
      </c>
      <c r="C582" s="0" t="s">
        <v>293</v>
      </c>
      <c r="E582" s="0" t="n">
        <v>5134</v>
      </c>
      <c r="F582" s="0" t="s">
        <v>1673</v>
      </c>
      <c r="G582" s="0" t="s">
        <v>1140</v>
      </c>
      <c r="H582" s="0" t="s">
        <v>1671</v>
      </c>
      <c r="I582" s="0" t="s">
        <v>1674</v>
      </c>
      <c r="J582" s="0" t="s">
        <v>874</v>
      </c>
    </row>
    <row r="583" customFormat="false" ht="15" hidden="false" customHeight="false" outlineLevel="0" collapsed="false">
      <c r="A583" s="0" t="s">
        <v>1132</v>
      </c>
      <c r="B583" s="0" t="n">
        <v>4470</v>
      </c>
      <c r="C583" s="0" t="s">
        <v>292</v>
      </c>
      <c r="E583" s="0" t="n">
        <v>3625</v>
      </c>
      <c r="F583" s="0" t="s">
        <v>1675</v>
      </c>
      <c r="G583" s="0" t="s">
        <v>1140</v>
      </c>
      <c r="H583" s="0" t="s">
        <v>1671</v>
      </c>
      <c r="I583" s="0" t="s">
        <v>1676</v>
      </c>
      <c r="J583" s="0" t="s">
        <v>652</v>
      </c>
    </row>
    <row r="584" customFormat="false" ht="15" hidden="false" customHeight="false" outlineLevel="0" collapsed="false">
      <c r="A584" s="0" t="s">
        <v>1132</v>
      </c>
      <c r="B584" s="0" t="n">
        <v>159</v>
      </c>
      <c r="C584" s="0" t="s">
        <v>293</v>
      </c>
      <c r="E584" s="0" t="n">
        <v>3625</v>
      </c>
      <c r="F584" s="0" t="s">
        <v>1675</v>
      </c>
      <c r="G584" s="0" t="s">
        <v>1140</v>
      </c>
      <c r="H584" s="0" t="s">
        <v>1671</v>
      </c>
      <c r="I584" s="0" t="s">
        <v>1676</v>
      </c>
      <c r="J584" s="0" t="s">
        <v>652</v>
      </c>
    </row>
    <row r="585" customFormat="false" ht="15" hidden="false" customHeight="false" outlineLevel="0" collapsed="false">
      <c r="A585" s="0" t="s">
        <v>1132</v>
      </c>
      <c r="B585" s="0" t="n">
        <v>159</v>
      </c>
      <c r="C585" s="0" t="s">
        <v>293</v>
      </c>
      <c r="E585" s="0" t="n">
        <v>10367</v>
      </c>
      <c r="F585" s="0" t="s">
        <v>1677</v>
      </c>
      <c r="G585" s="0" t="s">
        <v>1161</v>
      </c>
      <c r="H585" s="0" t="s">
        <v>1671</v>
      </c>
      <c r="I585" s="0" t="s">
        <v>1678</v>
      </c>
      <c r="J585" s="0" t="s">
        <v>652</v>
      </c>
    </row>
    <row r="586" customFormat="false" ht="15" hidden="false" customHeight="false" outlineLevel="0" collapsed="false">
      <c r="A586" s="0" t="s">
        <v>1132</v>
      </c>
      <c r="B586" s="0" t="n">
        <v>1179</v>
      </c>
      <c r="C586" s="0" t="s">
        <v>308</v>
      </c>
      <c r="E586" s="0" t="n">
        <v>10367</v>
      </c>
      <c r="F586" s="0" t="s">
        <v>1677</v>
      </c>
      <c r="G586" s="0" t="s">
        <v>1161</v>
      </c>
      <c r="H586" s="0" t="s">
        <v>1671</v>
      </c>
      <c r="I586" s="0" t="s">
        <v>1678</v>
      </c>
      <c r="J586" s="0" t="s">
        <v>652</v>
      </c>
    </row>
    <row r="587" customFormat="false" ht="15" hidden="false" customHeight="false" outlineLevel="0" collapsed="false">
      <c r="A587" s="0" t="s">
        <v>1132</v>
      </c>
      <c r="B587" s="0" t="n">
        <v>3713</v>
      </c>
      <c r="C587" s="0" t="s">
        <v>277</v>
      </c>
      <c r="E587" s="0" t="n">
        <v>5135</v>
      </c>
      <c r="F587" s="0" t="s">
        <v>1679</v>
      </c>
      <c r="G587" s="0" t="s">
        <v>1137</v>
      </c>
      <c r="H587" s="0" t="s">
        <v>1671</v>
      </c>
      <c r="I587" s="0" t="s">
        <v>1680</v>
      </c>
      <c r="J587" s="0" t="s">
        <v>874</v>
      </c>
    </row>
    <row r="588" customFormat="false" ht="15" hidden="false" customHeight="false" outlineLevel="0" collapsed="false">
      <c r="A588" s="0" t="s">
        <v>1132</v>
      </c>
      <c r="B588" s="0" t="n">
        <v>2678</v>
      </c>
      <c r="C588" s="0" t="s">
        <v>271</v>
      </c>
      <c r="E588" s="0" t="n">
        <v>5135</v>
      </c>
      <c r="F588" s="0" t="s">
        <v>1679</v>
      </c>
      <c r="G588" s="0" t="s">
        <v>1137</v>
      </c>
      <c r="H588" s="0" t="s">
        <v>1671</v>
      </c>
      <c r="I588" s="0" t="s">
        <v>1680</v>
      </c>
      <c r="J588" s="0" t="s">
        <v>874</v>
      </c>
    </row>
    <row r="589" customFormat="false" ht="15" hidden="false" customHeight="false" outlineLevel="0" collapsed="false">
      <c r="A589" s="0" t="s">
        <v>1132</v>
      </c>
      <c r="B589" s="0" t="n">
        <v>2692</v>
      </c>
      <c r="C589" s="0" t="s">
        <v>275</v>
      </c>
      <c r="E589" s="0" t="n">
        <v>5135</v>
      </c>
      <c r="F589" s="0" t="s">
        <v>1679</v>
      </c>
      <c r="G589" s="0" t="s">
        <v>1137</v>
      </c>
      <c r="H589" s="0" t="s">
        <v>1671</v>
      </c>
      <c r="I589" s="0" t="s">
        <v>1680</v>
      </c>
      <c r="J589" s="0" t="s">
        <v>874</v>
      </c>
    </row>
    <row r="590" customFormat="false" ht="15" hidden="false" customHeight="false" outlineLevel="0" collapsed="false">
      <c r="A590" s="0" t="s">
        <v>1132</v>
      </c>
      <c r="B590" s="0" t="n">
        <v>3713</v>
      </c>
      <c r="C590" s="0" t="s">
        <v>277</v>
      </c>
      <c r="E590" s="0" t="n">
        <v>2225</v>
      </c>
      <c r="F590" s="0" t="s">
        <v>1681</v>
      </c>
      <c r="G590" s="0" t="s">
        <v>1137</v>
      </c>
      <c r="H590" s="0" t="s">
        <v>1671</v>
      </c>
      <c r="I590" s="0" t="s">
        <v>1682</v>
      </c>
      <c r="J590" s="0" t="s">
        <v>652</v>
      </c>
    </row>
    <row r="591" customFormat="false" ht="15" hidden="false" customHeight="false" outlineLevel="0" collapsed="false">
      <c r="A591" s="0" t="s">
        <v>1132</v>
      </c>
      <c r="B591" s="0" t="n">
        <v>2678</v>
      </c>
      <c r="C591" s="0" t="s">
        <v>271</v>
      </c>
      <c r="E591" s="0" t="n">
        <v>2225</v>
      </c>
      <c r="F591" s="0" t="s">
        <v>1681</v>
      </c>
      <c r="G591" s="0" t="s">
        <v>1137</v>
      </c>
      <c r="H591" s="0" t="s">
        <v>1671</v>
      </c>
      <c r="I591" s="0" t="s">
        <v>1682</v>
      </c>
      <c r="J591" s="0" t="s">
        <v>652</v>
      </c>
    </row>
    <row r="592" customFormat="false" ht="15" hidden="false" customHeight="false" outlineLevel="0" collapsed="false">
      <c r="A592" s="0" t="s">
        <v>1132</v>
      </c>
      <c r="B592" s="0" t="n">
        <v>2692</v>
      </c>
      <c r="C592" s="0" t="s">
        <v>275</v>
      </c>
      <c r="E592" s="0" t="n">
        <v>2225</v>
      </c>
      <c r="F592" s="0" t="s">
        <v>1681</v>
      </c>
      <c r="G592" s="0" t="s">
        <v>1137</v>
      </c>
      <c r="H592" s="0" t="s">
        <v>1671</v>
      </c>
      <c r="I592" s="0" t="s">
        <v>1682</v>
      </c>
      <c r="J592" s="0" t="s">
        <v>652</v>
      </c>
    </row>
    <row r="593" customFormat="false" ht="15" hidden="false" customHeight="false" outlineLevel="0" collapsed="false">
      <c r="A593" s="0" t="s">
        <v>1132</v>
      </c>
      <c r="B593" s="0" t="n">
        <v>159</v>
      </c>
      <c r="C593" s="0" t="s">
        <v>293</v>
      </c>
      <c r="E593" s="0" t="n">
        <v>5814</v>
      </c>
      <c r="F593" s="0" t="s">
        <v>1683</v>
      </c>
      <c r="G593" s="0" t="s">
        <v>1134</v>
      </c>
      <c r="H593" s="0" t="s">
        <v>581</v>
      </c>
      <c r="I593" s="0" t="s">
        <v>1684</v>
      </c>
      <c r="J593" s="0" t="s">
        <v>652</v>
      </c>
    </row>
    <row r="594" customFormat="false" ht="15" hidden="false" customHeight="false" outlineLevel="0" collapsed="false">
      <c r="A594" s="0" t="s">
        <v>1132</v>
      </c>
      <c r="B594" s="0" t="n">
        <v>1179</v>
      </c>
      <c r="C594" s="0" t="s">
        <v>308</v>
      </c>
      <c r="E594" s="0" t="n">
        <v>5814</v>
      </c>
      <c r="F594" s="0" t="s">
        <v>1683</v>
      </c>
      <c r="G594" s="0" t="s">
        <v>1134</v>
      </c>
      <c r="H594" s="0" t="s">
        <v>581</v>
      </c>
      <c r="I594" s="0" t="s">
        <v>1684</v>
      </c>
      <c r="J594" s="0" t="s">
        <v>652</v>
      </c>
    </row>
    <row r="595" customFormat="false" ht="15" hidden="false" customHeight="false" outlineLevel="0" collapsed="false">
      <c r="A595" s="0" t="s">
        <v>1132</v>
      </c>
      <c r="B595" s="0" t="n">
        <v>4536</v>
      </c>
      <c r="C595" s="0" t="s">
        <v>316</v>
      </c>
      <c r="E595" s="0" t="n">
        <v>5814</v>
      </c>
      <c r="F595" s="0" t="s">
        <v>1683</v>
      </c>
      <c r="G595" s="0" t="s">
        <v>1134</v>
      </c>
      <c r="H595" s="0" t="s">
        <v>581</v>
      </c>
      <c r="I595" s="0" t="s">
        <v>1684</v>
      </c>
      <c r="J595" s="0" t="s">
        <v>652</v>
      </c>
    </row>
    <row r="596" customFormat="false" ht="15" hidden="false" customHeight="false" outlineLevel="0" collapsed="false">
      <c r="A596" s="0" t="s">
        <v>1132</v>
      </c>
      <c r="B596" s="0" t="n">
        <v>4470</v>
      </c>
      <c r="C596" s="0" t="s">
        <v>292</v>
      </c>
      <c r="E596" s="0" t="n">
        <v>734</v>
      </c>
      <c r="F596" s="0" t="s">
        <v>1685</v>
      </c>
      <c r="G596" s="0" t="s">
        <v>1686</v>
      </c>
      <c r="H596" s="0" t="s">
        <v>581</v>
      </c>
      <c r="I596" s="0" t="s">
        <v>1687</v>
      </c>
      <c r="J596" s="0" t="s">
        <v>874</v>
      </c>
    </row>
    <row r="597" customFormat="false" ht="15" hidden="false" customHeight="false" outlineLevel="0" collapsed="false">
      <c r="A597" s="0" t="s">
        <v>1132</v>
      </c>
      <c r="B597" s="0" t="n">
        <v>159</v>
      </c>
      <c r="C597" s="0" t="s">
        <v>293</v>
      </c>
      <c r="E597" s="0" t="n">
        <v>734</v>
      </c>
      <c r="F597" s="0" t="s">
        <v>1685</v>
      </c>
      <c r="G597" s="0" t="s">
        <v>1686</v>
      </c>
      <c r="H597" s="0" t="s">
        <v>581</v>
      </c>
      <c r="I597" s="0" t="s">
        <v>1687</v>
      </c>
      <c r="J597" s="0" t="s">
        <v>874</v>
      </c>
    </row>
    <row r="598" customFormat="false" ht="15" hidden="false" customHeight="false" outlineLevel="0" collapsed="false">
      <c r="A598" s="0" t="s">
        <v>1132</v>
      </c>
      <c r="B598" s="0" t="n">
        <v>1179</v>
      </c>
      <c r="C598" s="0" t="s">
        <v>308</v>
      </c>
      <c r="E598" s="0" t="n">
        <v>734</v>
      </c>
      <c r="F598" s="0" t="s">
        <v>1685</v>
      </c>
      <c r="G598" s="0" t="s">
        <v>1686</v>
      </c>
      <c r="H598" s="0" t="s">
        <v>581</v>
      </c>
      <c r="I598" s="0" t="s">
        <v>1687</v>
      </c>
      <c r="J598" s="0" t="s">
        <v>874</v>
      </c>
    </row>
    <row r="599" customFormat="false" ht="15" hidden="false" customHeight="false" outlineLevel="0" collapsed="false">
      <c r="A599" s="0" t="s">
        <v>1132</v>
      </c>
      <c r="B599" s="0" t="n">
        <v>4536</v>
      </c>
      <c r="C599" s="0" t="s">
        <v>316</v>
      </c>
      <c r="E599" s="0" t="n">
        <v>734</v>
      </c>
      <c r="F599" s="0" t="s">
        <v>1685</v>
      </c>
      <c r="G599" s="0" t="s">
        <v>1686</v>
      </c>
      <c r="H599" s="0" t="s">
        <v>581</v>
      </c>
      <c r="I599" s="0" t="s">
        <v>1687</v>
      </c>
      <c r="J599" s="0" t="s">
        <v>874</v>
      </c>
    </row>
    <row r="600" customFormat="false" ht="15" hidden="false" customHeight="false" outlineLevel="0" collapsed="false">
      <c r="A600" s="0" t="s">
        <v>1132</v>
      </c>
      <c r="B600" s="0" t="n">
        <v>159</v>
      </c>
      <c r="C600" s="0" t="s">
        <v>293</v>
      </c>
      <c r="E600" s="0" t="n">
        <v>2664</v>
      </c>
      <c r="F600" s="0" t="s">
        <v>580</v>
      </c>
      <c r="G600" s="0" t="s">
        <v>883</v>
      </c>
      <c r="H600" s="0" t="s">
        <v>581</v>
      </c>
      <c r="I600" s="0" t="s">
        <v>1688</v>
      </c>
      <c r="J600" s="0" t="s">
        <v>920</v>
      </c>
    </row>
    <row r="601" customFormat="false" ht="15" hidden="false" customHeight="false" outlineLevel="0" collapsed="false">
      <c r="A601" s="0" t="s">
        <v>1132</v>
      </c>
      <c r="B601" s="0" t="n">
        <v>3713</v>
      </c>
      <c r="C601" s="0" t="s">
        <v>277</v>
      </c>
      <c r="E601" s="0" t="n">
        <v>2664</v>
      </c>
      <c r="F601" s="0" t="s">
        <v>580</v>
      </c>
      <c r="G601" s="0" t="s">
        <v>883</v>
      </c>
      <c r="H601" s="0" t="s">
        <v>581</v>
      </c>
      <c r="I601" s="0" t="s">
        <v>1688</v>
      </c>
      <c r="J601" s="0" t="s">
        <v>920</v>
      </c>
    </row>
    <row r="602" customFormat="false" ht="15" hidden="false" customHeight="false" outlineLevel="0" collapsed="false">
      <c r="A602" s="0" t="s">
        <v>1132</v>
      </c>
      <c r="B602" s="0" t="n">
        <v>2678</v>
      </c>
      <c r="C602" s="0" t="s">
        <v>271</v>
      </c>
      <c r="E602" s="0" t="n">
        <v>2664</v>
      </c>
      <c r="F602" s="0" t="s">
        <v>580</v>
      </c>
      <c r="G602" s="0" t="s">
        <v>883</v>
      </c>
      <c r="H602" s="0" t="s">
        <v>581</v>
      </c>
      <c r="I602" s="0" t="s">
        <v>1688</v>
      </c>
      <c r="J602" s="0" t="s">
        <v>920</v>
      </c>
    </row>
    <row r="603" customFormat="false" ht="15" hidden="false" customHeight="false" outlineLevel="0" collapsed="false">
      <c r="A603" s="0" t="s">
        <v>1132</v>
      </c>
      <c r="B603" s="0" t="n">
        <v>2692</v>
      </c>
      <c r="C603" s="0" t="s">
        <v>275</v>
      </c>
      <c r="E603" s="0" t="n">
        <v>2664</v>
      </c>
      <c r="F603" s="0" t="s">
        <v>580</v>
      </c>
      <c r="G603" s="0" t="s">
        <v>883</v>
      </c>
      <c r="H603" s="0" t="s">
        <v>581</v>
      </c>
      <c r="I603" s="0" t="s">
        <v>1688</v>
      </c>
      <c r="J603" s="0" t="s">
        <v>920</v>
      </c>
    </row>
    <row r="604" customFormat="false" ht="15" hidden="false" customHeight="false" outlineLevel="0" collapsed="false">
      <c r="A604" s="0" t="s">
        <v>1132</v>
      </c>
      <c r="B604" s="0" t="n">
        <v>159</v>
      </c>
      <c r="C604" s="0" t="s">
        <v>293</v>
      </c>
      <c r="E604" s="0" t="n">
        <v>7485</v>
      </c>
      <c r="F604" s="0" t="s">
        <v>1689</v>
      </c>
      <c r="G604" s="0" t="s">
        <v>1155</v>
      </c>
      <c r="H604" s="0" t="s">
        <v>581</v>
      </c>
      <c r="I604" s="0" t="s">
        <v>1690</v>
      </c>
      <c r="J604" s="0" t="s">
        <v>652</v>
      </c>
    </row>
    <row r="605" customFormat="false" ht="15" hidden="false" customHeight="false" outlineLevel="0" collapsed="false">
      <c r="A605" s="0" t="s">
        <v>1132</v>
      </c>
      <c r="B605" s="0" t="n">
        <v>1179</v>
      </c>
      <c r="C605" s="0" t="s">
        <v>308</v>
      </c>
      <c r="E605" s="0" t="n">
        <v>7485</v>
      </c>
      <c r="F605" s="0" t="s">
        <v>1689</v>
      </c>
      <c r="G605" s="0" t="s">
        <v>1155</v>
      </c>
      <c r="H605" s="0" t="s">
        <v>581</v>
      </c>
      <c r="I605" s="0" t="s">
        <v>1690</v>
      </c>
      <c r="J605" s="0" t="s">
        <v>652</v>
      </c>
    </row>
    <row r="606" customFormat="false" ht="15" hidden="false" customHeight="false" outlineLevel="0" collapsed="false">
      <c r="A606" s="0" t="s">
        <v>1132</v>
      </c>
      <c r="B606" s="0" t="n">
        <v>3713</v>
      </c>
      <c r="C606" s="0" t="s">
        <v>277</v>
      </c>
      <c r="E606" s="0" t="n">
        <v>1148</v>
      </c>
      <c r="F606" s="0" t="s">
        <v>1691</v>
      </c>
      <c r="G606" s="0" t="s">
        <v>1137</v>
      </c>
      <c r="H606" s="0" t="s">
        <v>581</v>
      </c>
      <c r="I606" s="0" t="s">
        <v>1692</v>
      </c>
      <c r="J606" s="0" t="s">
        <v>652</v>
      </c>
    </row>
    <row r="607" customFormat="false" ht="15" hidden="false" customHeight="false" outlineLevel="0" collapsed="false">
      <c r="A607" s="0" t="s">
        <v>1132</v>
      </c>
      <c r="B607" s="0" t="n">
        <v>2678</v>
      </c>
      <c r="C607" s="0" t="s">
        <v>271</v>
      </c>
      <c r="E607" s="0" t="n">
        <v>1148</v>
      </c>
      <c r="F607" s="0" t="s">
        <v>1691</v>
      </c>
      <c r="G607" s="0" t="s">
        <v>1137</v>
      </c>
      <c r="H607" s="0" t="s">
        <v>581</v>
      </c>
      <c r="I607" s="0" t="s">
        <v>1692</v>
      </c>
      <c r="J607" s="0" t="s">
        <v>652</v>
      </c>
    </row>
    <row r="608" customFormat="false" ht="15" hidden="false" customHeight="false" outlineLevel="0" collapsed="false">
      <c r="A608" s="0" t="s">
        <v>1132</v>
      </c>
      <c r="B608" s="0" t="n">
        <v>2692</v>
      </c>
      <c r="C608" s="0" t="s">
        <v>275</v>
      </c>
      <c r="E608" s="0" t="n">
        <v>1148</v>
      </c>
      <c r="F608" s="0" t="s">
        <v>1691</v>
      </c>
      <c r="G608" s="0" t="s">
        <v>1137</v>
      </c>
      <c r="H608" s="0" t="s">
        <v>581</v>
      </c>
      <c r="I608" s="0" t="s">
        <v>1692</v>
      </c>
      <c r="J608" s="0" t="s">
        <v>652</v>
      </c>
    </row>
    <row r="609" customFormat="false" ht="15" hidden="false" customHeight="false" outlineLevel="0" collapsed="false">
      <c r="A609" s="0" t="s">
        <v>1132</v>
      </c>
      <c r="B609" s="0" t="n">
        <v>159</v>
      </c>
      <c r="C609" s="0" t="s">
        <v>293</v>
      </c>
      <c r="E609" s="0" t="n">
        <v>2832</v>
      </c>
      <c r="F609" s="0" t="s">
        <v>1693</v>
      </c>
      <c r="G609" s="0" t="s">
        <v>1378</v>
      </c>
      <c r="H609" s="0" t="s">
        <v>581</v>
      </c>
      <c r="I609" s="0" t="s">
        <v>1694</v>
      </c>
      <c r="J609" s="0" t="s">
        <v>920</v>
      </c>
    </row>
    <row r="610" customFormat="false" ht="15" hidden="false" customHeight="false" outlineLevel="0" collapsed="false">
      <c r="A610" s="0" t="s">
        <v>1132</v>
      </c>
      <c r="B610" s="0" t="n">
        <v>1179</v>
      </c>
      <c r="C610" s="0" t="s">
        <v>308</v>
      </c>
      <c r="E610" s="0" t="n">
        <v>2832</v>
      </c>
      <c r="F610" s="0" t="s">
        <v>1693</v>
      </c>
      <c r="G610" s="0" t="s">
        <v>1378</v>
      </c>
      <c r="H610" s="0" t="s">
        <v>581</v>
      </c>
      <c r="I610" s="0" t="s">
        <v>1694</v>
      </c>
      <c r="J610" s="0" t="s">
        <v>920</v>
      </c>
    </row>
    <row r="611" customFormat="false" ht="15" hidden="false" customHeight="false" outlineLevel="0" collapsed="false">
      <c r="A611" s="0" t="s">
        <v>1132</v>
      </c>
      <c r="B611" s="0" t="n">
        <v>2596</v>
      </c>
      <c r="C611" s="0" t="s">
        <v>363</v>
      </c>
      <c r="E611" s="0" t="n">
        <v>2832</v>
      </c>
      <c r="F611" s="0" t="s">
        <v>1693</v>
      </c>
      <c r="G611" s="0" t="s">
        <v>1378</v>
      </c>
      <c r="H611" s="0" t="s">
        <v>581</v>
      </c>
      <c r="I611" s="0" t="s">
        <v>1694</v>
      </c>
      <c r="J611" s="0" t="s">
        <v>920</v>
      </c>
    </row>
    <row r="612" customFormat="false" ht="15" hidden="false" customHeight="false" outlineLevel="0" collapsed="false">
      <c r="A612" s="0" t="s">
        <v>1132</v>
      </c>
      <c r="B612" s="0" t="n">
        <v>159</v>
      </c>
      <c r="C612" s="0" t="s">
        <v>293</v>
      </c>
      <c r="E612" s="0" t="n">
        <v>6807</v>
      </c>
      <c r="F612" s="0" t="s">
        <v>1695</v>
      </c>
      <c r="G612" s="0" t="s">
        <v>1134</v>
      </c>
      <c r="H612" s="0" t="s">
        <v>581</v>
      </c>
      <c r="I612" s="0" t="s">
        <v>1696</v>
      </c>
      <c r="J612" s="0" t="s">
        <v>920</v>
      </c>
    </row>
    <row r="613" customFormat="false" ht="15" hidden="false" customHeight="false" outlineLevel="0" collapsed="false">
      <c r="A613" s="0" t="s">
        <v>1132</v>
      </c>
      <c r="B613" s="0" t="n">
        <v>1179</v>
      </c>
      <c r="C613" s="0" t="s">
        <v>308</v>
      </c>
      <c r="E613" s="0" t="n">
        <v>6807</v>
      </c>
      <c r="F613" s="0" t="s">
        <v>1695</v>
      </c>
      <c r="G613" s="0" t="s">
        <v>1134</v>
      </c>
      <c r="H613" s="0" t="s">
        <v>581</v>
      </c>
      <c r="I613" s="0" t="s">
        <v>1696</v>
      </c>
      <c r="J613" s="0" t="s">
        <v>920</v>
      </c>
    </row>
    <row r="614" customFormat="false" ht="15" hidden="false" customHeight="false" outlineLevel="0" collapsed="false">
      <c r="A614" s="0" t="s">
        <v>1132</v>
      </c>
      <c r="B614" s="0" t="n">
        <v>4470</v>
      </c>
      <c r="C614" s="0" t="s">
        <v>292</v>
      </c>
      <c r="E614" s="0" t="n">
        <v>1149</v>
      </c>
      <c r="F614" s="0" t="s">
        <v>1697</v>
      </c>
      <c r="G614" s="0" t="s">
        <v>1140</v>
      </c>
      <c r="H614" s="0" t="s">
        <v>581</v>
      </c>
      <c r="I614" s="0" t="s">
        <v>1698</v>
      </c>
      <c r="J614" s="0" t="s">
        <v>652</v>
      </c>
    </row>
    <row r="615" customFormat="false" ht="15" hidden="false" customHeight="false" outlineLevel="0" collapsed="false">
      <c r="A615" s="0" t="s">
        <v>1132</v>
      </c>
      <c r="B615" s="0" t="n">
        <v>159</v>
      </c>
      <c r="C615" s="0" t="s">
        <v>293</v>
      </c>
      <c r="E615" s="0" t="n">
        <v>1149</v>
      </c>
      <c r="F615" s="0" t="s">
        <v>1697</v>
      </c>
      <c r="G615" s="0" t="s">
        <v>1140</v>
      </c>
      <c r="H615" s="0" t="s">
        <v>581</v>
      </c>
      <c r="I615" s="0" t="s">
        <v>1698</v>
      </c>
      <c r="J615" s="0" t="s">
        <v>652</v>
      </c>
    </row>
    <row r="616" customFormat="false" ht="15" hidden="false" customHeight="false" outlineLevel="0" collapsed="false">
      <c r="A616" s="0" t="s">
        <v>30</v>
      </c>
      <c r="B616" s="0" t="n">
        <v>16072</v>
      </c>
      <c r="C616" s="0" t="s">
        <v>1699</v>
      </c>
      <c r="D616" s="0" t="n">
        <v>125</v>
      </c>
      <c r="E616" s="0" t="n">
        <v>3955</v>
      </c>
      <c r="F616" s="0" t="s">
        <v>1150</v>
      </c>
      <c r="G616" s="0" t="s">
        <v>1137</v>
      </c>
      <c r="H616" s="0" t="s">
        <v>409</v>
      </c>
      <c r="I616" s="0" t="s">
        <v>1151</v>
      </c>
      <c r="J616" s="0" t="s">
        <v>874</v>
      </c>
    </row>
    <row r="617" customFormat="false" ht="15" hidden="false" customHeight="false" outlineLevel="0" collapsed="false">
      <c r="A617" s="0" t="s">
        <v>30</v>
      </c>
      <c r="B617" s="0" t="n">
        <v>3734</v>
      </c>
      <c r="C617" s="0" t="s">
        <v>1027</v>
      </c>
      <c r="D617" s="0" t="n">
        <v>110</v>
      </c>
      <c r="E617" s="0" t="n">
        <v>3960</v>
      </c>
      <c r="F617" s="0" t="s">
        <v>1700</v>
      </c>
      <c r="G617" s="0" t="s">
        <v>1277</v>
      </c>
      <c r="H617" s="0" t="s">
        <v>409</v>
      </c>
      <c r="I617" s="0" t="s">
        <v>1701</v>
      </c>
      <c r="J617" s="0" t="s">
        <v>874</v>
      </c>
    </row>
    <row r="618" customFormat="false" ht="15" hidden="false" customHeight="false" outlineLevel="0" collapsed="false">
      <c r="A618" s="0" t="s">
        <v>30</v>
      </c>
      <c r="B618" s="0" t="n">
        <v>5489</v>
      </c>
      <c r="C618" s="0" t="s">
        <v>1702</v>
      </c>
      <c r="D618" s="0" t="n">
        <v>110</v>
      </c>
      <c r="E618" s="0" t="n">
        <v>3960</v>
      </c>
      <c r="F618" s="0" t="s">
        <v>1700</v>
      </c>
      <c r="G618" s="0" t="s">
        <v>1277</v>
      </c>
      <c r="H618" s="0" t="s">
        <v>409</v>
      </c>
      <c r="I618" s="0" t="s">
        <v>1701</v>
      </c>
      <c r="J618" s="0" t="s">
        <v>874</v>
      </c>
    </row>
    <row r="619" customFormat="false" ht="15" hidden="false" customHeight="false" outlineLevel="0" collapsed="false">
      <c r="A619" s="0" t="s">
        <v>30</v>
      </c>
      <c r="B619" s="0" t="n">
        <v>6369</v>
      </c>
      <c r="C619" s="0" t="s">
        <v>1703</v>
      </c>
      <c r="D619" s="0" t="n">
        <v>175</v>
      </c>
      <c r="E619" s="0" t="n">
        <v>12962</v>
      </c>
      <c r="F619" s="0" t="s">
        <v>1704</v>
      </c>
      <c r="G619" s="0" t="s">
        <v>1705</v>
      </c>
      <c r="H619" s="0" t="s">
        <v>409</v>
      </c>
      <c r="I619" s="0" t="s">
        <v>1706</v>
      </c>
      <c r="J619" s="0" t="s">
        <v>652</v>
      </c>
    </row>
    <row r="620" customFormat="false" ht="15" hidden="false" customHeight="false" outlineLevel="0" collapsed="false">
      <c r="A620" s="0" t="s">
        <v>30</v>
      </c>
      <c r="B620" s="0" t="n">
        <v>17062</v>
      </c>
      <c r="C620" s="0" t="s">
        <v>1707</v>
      </c>
      <c r="D620" s="0" t="n">
        <v>175</v>
      </c>
      <c r="E620" s="0" t="n">
        <v>12962</v>
      </c>
      <c r="F620" s="0" t="s">
        <v>1704</v>
      </c>
      <c r="G620" s="0" t="s">
        <v>1705</v>
      </c>
      <c r="H620" s="0" t="s">
        <v>409</v>
      </c>
      <c r="I620" s="0" t="s">
        <v>1706</v>
      </c>
      <c r="J620" s="0" t="s">
        <v>652</v>
      </c>
    </row>
    <row r="621" customFormat="false" ht="15" hidden="false" customHeight="false" outlineLevel="0" collapsed="false">
      <c r="A621" s="0" t="s">
        <v>30</v>
      </c>
      <c r="B621" s="0" t="n">
        <v>16110</v>
      </c>
      <c r="C621" s="0" t="s">
        <v>1708</v>
      </c>
      <c r="D621" s="0" t="n">
        <v>225</v>
      </c>
      <c r="E621" s="0" t="n">
        <v>11187</v>
      </c>
      <c r="F621" s="0" t="s">
        <v>1160</v>
      </c>
      <c r="G621" s="0" t="s">
        <v>1161</v>
      </c>
      <c r="H621" s="0" t="s">
        <v>1158</v>
      </c>
      <c r="I621" s="0" t="s">
        <v>1162</v>
      </c>
      <c r="J621" s="0" t="s">
        <v>920</v>
      </c>
    </row>
    <row r="622" customFormat="false" ht="15" hidden="false" customHeight="false" outlineLevel="0" collapsed="false">
      <c r="A622" s="0" t="s">
        <v>30</v>
      </c>
      <c r="B622" s="0" t="n">
        <v>6325</v>
      </c>
      <c r="C622" s="0" t="s">
        <v>574</v>
      </c>
      <c r="D622" s="0" t="n">
        <v>1</v>
      </c>
      <c r="E622" s="0" t="n">
        <v>5494</v>
      </c>
      <c r="F622" s="0" t="s">
        <v>1709</v>
      </c>
      <c r="G622" s="0" t="s">
        <v>1710</v>
      </c>
      <c r="H622" s="0" t="s">
        <v>872</v>
      </c>
      <c r="I622" s="0" t="s">
        <v>1711</v>
      </c>
      <c r="J622" s="0" t="s">
        <v>874</v>
      </c>
    </row>
    <row r="623" customFormat="false" ht="15" hidden="false" customHeight="false" outlineLevel="0" collapsed="false">
      <c r="A623" s="0" t="s">
        <v>30</v>
      </c>
      <c r="B623" s="0" t="n">
        <v>6330</v>
      </c>
      <c r="C623" s="0" t="s">
        <v>1712</v>
      </c>
      <c r="D623" s="0" t="n">
        <v>100</v>
      </c>
      <c r="E623" s="0" t="n">
        <v>5494</v>
      </c>
      <c r="F623" s="0" t="s">
        <v>1709</v>
      </c>
      <c r="G623" s="0" t="s">
        <v>1710</v>
      </c>
      <c r="H623" s="0" t="s">
        <v>872</v>
      </c>
      <c r="I623" s="0" t="s">
        <v>1711</v>
      </c>
      <c r="J623" s="0" t="s">
        <v>874</v>
      </c>
    </row>
    <row r="624" customFormat="false" ht="15" hidden="false" customHeight="false" outlineLevel="0" collapsed="false">
      <c r="A624" s="0" t="s">
        <v>30</v>
      </c>
      <c r="B624" s="0" t="n">
        <v>6368</v>
      </c>
      <c r="C624" s="0" t="s">
        <v>1713</v>
      </c>
      <c r="D624" s="0" t="n">
        <v>50</v>
      </c>
      <c r="E624" s="0" t="n">
        <v>5494</v>
      </c>
      <c r="F624" s="0" t="s">
        <v>1709</v>
      </c>
      <c r="G624" s="0" t="s">
        <v>1710</v>
      </c>
      <c r="H624" s="0" t="s">
        <v>872</v>
      </c>
      <c r="I624" s="0" t="s">
        <v>1711</v>
      </c>
      <c r="J624" s="0" t="s">
        <v>874</v>
      </c>
    </row>
    <row r="625" customFormat="false" ht="15" hidden="false" customHeight="false" outlineLevel="0" collapsed="false">
      <c r="A625" s="0" t="s">
        <v>30</v>
      </c>
      <c r="B625" s="0" t="n">
        <v>21219</v>
      </c>
      <c r="C625" s="0" t="s">
        <v>1714</v>
      </c>
      <c r="D625" s="0" t="n">
        <v>175</v>
      </c>
      <c r="E625" s="0" t="n">
        <v>5483</v>
      </c>
      <c r="F625" s="0" t="s">
        <v>1192</v>
      </c>
      <c r="G625" s="0" t="s">
        <v>1193</v>
      </c>
      <c r="H625" s="0" t="s">
        <v>872</v>
      </c>
      <c r="I625" s="0" t="s">
        <v>1194</v>
      </c>
      <c r="J625" s="0" t="s">
        <v>874</v>
      </c>
    </row>
    <row r="626" customFormat="false" ht="15" hidden="false" customHeight="false" outlineLevel="0" collapsed="false">
      <c r="A626" s="0" t="s">
        <v>30</v>
      </c>
      <c r="B626" s="0" t="n">
        <v>21099</v>
      </c>
      <c r="C626" s="0" t="s">
        <v>1715</v>
      </c>
      <c r="D626" s="0" t="n">
        <v>80</v>
      </c>
      <c r="E626" s="0" t="n">
        <v>5483</v>
      </c>
      <c r="F626" s="0" t="s">
        <v>1192</v>
      </c>
      <c r="G626" s="0" t="s">
        <v>1193</v>
      </c>
      <c r="H626" s="0" t="s">
        <v>872</v>
      </c>
      <c r="I626" s="0" t="s">
        <v>1194</v>
      </c>
      <c r="J626" s="0" t="s">
        <v>874</v>
      </c>
    </row>
    <row r="627" customFormat="false" ht="15" hidden="false" customHeight="false" outlineLevel="0" collapsed="false">
      <c r="A627" s="0" t="s">
        <v>30</v>
      </c>
      <c r="B627" s="0" t="n">
        <v>3679</v>
      </c>
      <c r="C627" s="0" t="s">
        <v>971</v>
      </c>
      <c r="D627" s="0" t="n">
        <v>60</v>
      </c>
      <c r="E627" s="0" t="n">
        <v>340</v>
      </c>
      <c r="F627" s="0" t="s">
        <v>1716</v>
      </c>
      <c r="G627" s="0" t="s">
        <v>1717</v>
      </c>
      <c r="H627" s="0" t="s">
        <v>872</v>
      </c>
      <c r="I627" s="0" t="s">
        <v>1718</v>
      </c>
      <c r="J627" s="0" t="s">
        <v>874</v>
      </c>
    </row>
    <row r="628" customFormat="false" ht="15" hidden="false" customHeight="false" outlineLevel="0" collapsed="false">
      <c r="A628" s="0" t="s">
        <v>30</v>
      </c>
      <c r="B628" s="0" t="n">
        <v>2700</v>
      </c>
      <c r="C628" s="0" t="s">
        <v>1719</v>
      </c>
      <c r="D628" s="0" t="n">
        <v>110</v>
      </c>
      <c r="E628" s="0" t="n">
        <v>340</v>
      </c>
      <c r="F628" s="0" t="s">
        <v>1716</v>
      </c>
      <c r="G628" s="0" t="s">
        <v>1717</v>
      </c>
      <c r="H628" s="0" t="s">
        <v>872</v>
      </c>
      <c r="I628" s="0" t="s">
        <v>1718</v>
      </c>
      <c r="J628" s="0" t="s">
        <v>874</v>
      </c>
    </row>
    <row r="629" customFormat="false" ht="15" hidden="false" customHeight="false" outlineLevel="0" collapsed="false">
      <c r="A629" s="0" t="s">
        <v>30</v>
      </c>
      <c r="B629" s="0" t="n">
        <v>2889</v>
      </c>
      <c r="C629" s="0" t="s">
        <v>961</v>
      </c>
      <c r="D629" s="0" t="n">
        <v>25</v>
      </c>
      <c r="E629" s="0" t="n">
        <v>340</v>
      </c>
      <c r="F629" s="0" t="s">
        <v>1716</v>
      </c>
      <c r="G629" s="0" t="s">
        <v>1717</v>
      </c>
      <c r="H629" s="0" t="s">
        <v>872</v>
      </c>
      <c r="I629" s="0" t="s">
        <v>1718</v>
      </c>
      <c r="J629" s="0" t="s">
        <v>874</v>
      </c>
    </row>
    <row r="630" customFormat="false" ht="15" hidden="false" customHeight="false" outlineLevel="0" collapsed="false">
      <c r="A630" s="0" t="s">
        <v>30</v>
      </c>
      <c r="B630" s="0" t="n">
        <v>3681</v>
      </c>
      <c r="C630" s="0" t="s">
        <v>1037</v>
      </c>
      <c r="D630" s="0" t="n">
        <v>120</v>
      </c>
      <c r="E630" s="0" t="n">
        <v>340</v>
      </c>
      <c r="F630" s="0" t="s">
        <v>1716</v>
      </c>
      <c r="G630" s="0" t="s">
        <v>1717</v>
      </c>
      <c r="H630" s="0" t="s">
        <v>872</v>
      </c>
      <c r="I630" s="0" t="s">
        <v>1718</v>
      </c>
      <c r="J630" s="0" t="s">
        <v>874</v>
      </c>
    </row>
    <row r="631" customFormat="false" ht="15" hidden="false" customHeight="false" outlineLevel="0" collapsed="false">
      <c r="A631" s="0" t="s">
        <v>30</v>
      </c>
      <c r="B631" s="0" t="n">
        <v>2699</v>
      </c>
      <c r="C631" s="0" t="s">
        <v>1009</v>
      </c>
      <c r="D631" s="0" t="n">
        <v>100</v>
      </c>
      <c r="E631" s="0" t="n">
        <v>340</v>
      </c>
      <c r="F631" s="0" t="s">
        <v>1716</v>
      </c>
      <c r="G631" s="0" t="s">
        <v>1717</v>
      </c>
      <c r="H631" s="0" t="s">
        <v>872</v>
      </c>
      <c r="I631" s="0" t="s">
        <v>1718</v>
      </c>
      <c r="J631" s="0" t="s">
        <v>874</v>
      </c>
    </row>
    <row r="632" customFormat="false" ht="15" hidden="false" customHeight="false" outlineLevel="0" collapsed="false">
      <c r="A632" s="0" t="s">
        <v>30</v>
      </c>
      <c r="B632" s="0" t="n">
        <v>2701</v>
      </c>
      <c r="C632" s="0" t="s">
        <v>1033</v>
      </c>
      <c r="D632" s="0" t="n">
        <v>100</v>
      </c>
      <c r="E632" s="0" t="n">
        <v>340</v>
      </c>
      <c r="F632" s="0" t="s">
        <v>1716</v>
      </c>
      <c r="G632" s="0" t="s">
        <v>1717</v>
      </c>
      <c r="H632" s="0" t="s">
        <v>872</v>
      </c>
      <c r="I632" s="0" t="s">
        <v>1718</v>
      </c>
      <c r="J632" s="0" t="s">
        <v>874</v>
      </c>
    </row>
    <row r="633" customFormat="false" ht="15" hidden="false" customHeight="false" outlineLevel="0" collapsed="false">
      <c r="A633" s="0" t="s">
        <v>30</v>
      </c>
      <c r="B633" s="0" t="n">
        <v>3682</v>
      </c>
      <c r="C633" s="0" t="s">
        <v>1054</v>
      </c>
      <c r="D633" s="0" t="n">
        <v>130</v>
      </c>
      <c r="E633" s="0" t="n">
        <v>340</v>
      </c>
      <c r="F633" s="0" t="s">
        <v>1716</v>
      </c>
      <c r="G633" s="0" t="s">
        <v>1717</v>
      </c>
      <c r="H633" s="0" t="s">
        <v>872</v>
      </c>
      <c r="I633" s="0" t="s">
        <v>1718</v>
      </c>
      <c r="J633" s="0" t="s">
        <v>874</v>
      </c>
    </row>
    <row r="634" customFormat="false" ht="15" hidden="false" customHeight="false" outlineLevel="0" collapsed="false">
      <c r="A634" s="0" t="s">
        <v>30</v>
      </c>
      <c r="B634" s="0" t="n">
        <v>2698</v>
      </c>
      <c r="C634" s="0" t="s">
        <v>1720</v>
      </c>
      <c r="D634" s="0" t="n">
        <v>85</v>
      </c>
      <c r="E634" s="0" t="n">
        <v>340</v>
      </c>
      <c r="F634" s="0" t="s">
        <v>1716</v>
      </c>
      <c r="G634" s="0" t="s">
        <v>1717</v>
      </c>
      <c r="H634" s="0" t="s">
        <v>872</v>
      </c>
      <c r="I634" s="0" t="s">
        <v>1718</v>
      </c>
      <c r="J634" s="0" t="s">
        <v>874</v>
      </c>
    </row>
    <row r="635" customFormat="false" ht="15" hidden="false" customHeight="false" outlineLevel="0" collapsed="false">
      <c r="A635" s="0" t="s">
        <v>30</v>
      </c>
      <c r="B635" s="0" t="n">
        <v>728</v>
      </c>
      <c r="C635" s="0" t="s">
        <v>988</v>
      </c>
      <c r="D635" s="0" t="n">
        <v>75</v>
      </c>
      <c r="E635" s="0" t="n">
        <v>340</v>
      </c>
      <c r="F635" s="0" t="s">
        <v>1716</v>
      </c>
      <c r="G635" s="0" t="s">
        <v>1717</v>
      </c>
      <c r="H635" s="0" t="s">
        <v>872</v>
      </c>
      <c r="I635" s="0" t="s">
        <v>1718</v>
      </c>
      <c r="J635" s="0" t="s">
        <v>874</v>
      </c>
    </row>
    <row r="636" customFormat="false" ht="15" hidden="false" customHeight="false" outlineLevel="0" collapsed="false">
      <c r="A636" s="0" t="s">
        <v>30</v>
      </c>
      <c r="B636" s="0" t="n">
        <v>3680</v>
      </c>
      <c r="C636" s="0" t="s">
        <v>1016</v>
      </c>
      <c r="D636" s="0" t="n">
        <v>90</v>
      </c>
      <c r="E636" s="0" t="n">
        <v>340</v>
      </c>
      <c r="F636" s="0" t="s">
        <v>1716</v>
      </c>
      <c r="G636" s="0" t="s">
        <v>1717</v>
      </c>
      <c r="H636" s="0" t="s">
        <v>872</v>
      </c>
      <c r="I636" s="0" t="s">
        <v>1718</v>
      </c>
      <c r="J636" s="0" t="s">
        <v>874</v>
      </c>
    </row>
    <row r="637" customFormat="false" ht="15" hidden="false" customHeight="false" outlineLevel="0" collapsed="false">
      <c r="A637" s="0" t="s">
        <v>30</v>
      </c>
      <c r="B637" s="0" t="n">
        <v>3678</v>
      </c>
      <c r="C637" s="0" t="s">
        <v>992</v>
      </c>
      <c r="D637" s="0" t="n">
        <v>80</v>
      </c>
      <c r="E637" s="0" t="n">
        <v>340</v>
      </c>
      <c r="F637" s="0" t="s">
        <v>1716</v>
      </c>
      <c r="G637" s="0" t="s">
        <v>1717</v>
      </c>
      <c r="H637" s="0" t="s">
        <v>872</v>
      </c>
      <c r="I637" s="0" t="s">
        <v>1718</v>
      </c>
      <c r="J637" s="0" t="s">
        <v>874</v>
      </c>
    </row>
    <row r="638" customFormat="false" ht="15" hidden="false" customHeight="false" outlineLevel="0" collapsed="false">
      <c r="A638" s="0" t="s">
        <v>30</v>
      </c>
      <c r="B638" s="0" t="n">
        <v>2697</v>
      </c>
      <c r="C638" s="0" t="s">
        <v>981</v>
      </c>
      <c r="D638" s="0" t="n">
        <v>50</v>
      </c>
      <c r="E638" s="0" t="n">
        <v>340</v>
      </c>
      <c r="F638" s="0" t="s">
        <v>1716</v>
      </c>
      <c r="G638" s="0" t="s">
        <v>1717</v>
      </c>
      <c r="H638" s="0" t="s">
        <v>872</v>
      </c>
      <c r="I638" s="0" t="s">
        <v>1718</v>
      </c>
      <c r="J638" s="0" t="s">
        <v>874</v>
      </c>
    </row>
    <row r="639" customFormat="false" ht="15" hidden="false" customHeight="false" outlineLevel="0" collapsed="false">
      <c r="A639" s="0" t="s">
        <v>30</v>
      </c>
      <c r="B639" s="0" t="n">
        <v>3683</v>
      </c>
      <c r="C639" s="0" t="s">
        <v>1021</v>
      </c>
      <c r="D639" s="0" t="n">
        <v>110</v>
      </c>
      <c r="E639" s="0" t="n">
        <v>340</v>
      </c>
      <c r="F639" s="0" t="s">
        <v>1716</v>
      </c>
      <c r="G639" s="0" t="s">
        <v>1717</v>
      </c>
      <c r="H639" s="0" t="s">
        <v>872</v>
      </c>
      <c r="I639" s="0" t="s">
        <v>1718</v>
      </c>
      <c r="J639" s="0" t="s">
        <v>874</v>
      </c>
    </row>
    <row r="640" customFormat="false" ht="15" hidden="false" customHeight="false" outlineLevel="0" collapsed="false">
      <c r="A640" s="0" t="s">
        <v>30</v>
      </c>
      <c r="B640" s="0" t="n">
        <v>17200</v>
      </c>
      <c r="C640" s="0" t="s">
        <v>1721</v>
      </c>
      <c r="D640" s="0" t="n">
        <v>1</v>
      </c>
      <c r="E640" s="0" t="n">
        <v>13435</v>
      </c>
      <c r="F640" s="0" t="s">
        <v>1209</v>
      </c>
      <c r="G640" s="0" t="s">
        <v>1210</v>
      </c>
      <c r="H640" s="0" t="s">
        <v>872</v>
      </c>
      <c r="I640" s="0" t="s">
        <v>1211</v>
      </c>
      <c r="J640" s="0" t="s">
        <v>920</v>
      </c>
    </row>
    <row r="641" customFormat="false" ht="15" hidden="false" customHeight="false" outlineLevel="0" collapsed="false">
      <c r="A641" s="0" t="s">
        <v>30</v>
      </c>
      <c r="B641" s="0" t="n">
        <v>17201</v>
      </c>
      <c r="C641" s="0" t="s">
        <v>1722</v>
      </c>
      <c r="D641" s="0" t="n">
        <v>35</v>
      </c>
      <c r="E641" s="0" t="n">
        <v>13435</v>
      </c>
      <c r="F641" s="0" t="s">
        <v>1209</v>
      </c>
      <c r="G641" s="0" t="s">
        <v>1210</v>
      </c>
      <c r="H641" s="0" t="s">
        <v>872</v>
      </c>
      <c r="I641" s="0" t="s">
        <v>1211</v>
      </c>
      <c r="J641" s="0" t="s">
        <v>920</v>
      </c>
    </row>
    <row r="642" customFormat="false" ht="15" hidden="false" customHeight="false" outlineLevel="0" collapsed="false">
      <c r="A642" s="0" t="s">
        <v>30</v>
      </c>
      <c r="B642" s="0" t="n">
        <v>12226</v>
      </c>
      <c r="C642" s="0" t="s">
        <v>571</v>
      </c>
      <c r="D642" s="0" t="n">
        <v>1</v>
      </c>
      <c r="E642" s="0" t="n">
        <v>2118</v>
      </c>
      <c r="F642" s="0" t="s">
        <v>556</v>
      </c>
      <c r="G642" s="0" t="s">
        <v>1137</v>
      </c>
      <c r="H642" s="0" t="s">
        <v>555</v>
      </c>
      <c r="I642" s="0" t="s">
        <v>1217</v>
      </c>
      <c r="J642" s="0" t="s">
        <v>652</v>
      </c>
    </row>
    <row r="643" customFormat="false" ht="15" hidden="false" customHeight="false" outlineLevel="0" collapsed="false">
      <c r="A643" s="0" t="s">
        <v>30</v>
      </c>
      <c r="B643" s="0" t="n">
        <v>6325</v>
      </c>
      <c r="C643" s="0" t="s">
        <v>574</v>
      </c>
      <c r="D643" s="0" t="n">
        <v>1</v>
      </c>
      <c r="E643" s="0" t="n">
        <v>3550</v>
      </c>
      <c r="F643" s="0" t="s">
        <v>573</v>
      </c>
      <c r="G643" s="0" t="s">
        <v>1710</v>
      </c>
      <c r="H643" s="0" t="s">
        <v>555</v>
      </c>
      <c r="I643" s="0" t="s">
        <v>1723</v>
      </c>
      <c r="J643" s="0" t="s">
        <v>652</v>
      </c>
    </row>
    <row r="644" customFormat="false" ht="15" hidden="false" customHeight="false" outlineLevel="0" collapsed="false">
      <c r="A644" s="0" t="s">
        <v>30</v>
      </c>
      <c r="B644" s="0" t="n">
        <v>6326</v>
      </c>
      <c r="C644" s="0" t="s">
        <v>575</v>
      </c>
      <c r="D644" s="0" t="n">
        <v>1</v>
      </c>
      <c r="E644" s="0" t="n">
        <v>3550</v>
      </c>
      <c r="F644" s="0" t="s">
        <v>573</v>
      </c>
      <c r="G644" s="0" t="s">
        <v>1710</v>
      </c>
      <c r="H644" s="0" t="s">
        <v>555</v>
      </c>
      <c r="I644" s="0" t="s">
        <v>1723</v>
      </c>
      <c r="J644" s="0" t="s">
        <v>652</v>
      </c>
    </row>
    <row r="645" customFormat="false" ht="15" hidden="false" customHeight="false" outlineLevel="0" collapsed="false">
      <c r="A645" s="0" t="s">
        <v>30</v>
      </c>
      <c r="B645" s="0" t="n">
        <v>21219</v>
      </c>
      <c r="C645" s="0" t="s">
        <v>1714</v>
      </c>
      <c r="D645" s="0" t="n">
        <v>175</v>
      </c>
      <c r="E645" s="0" t="n">
        <v>2397</v>
      </c>
      <c r="F645" s="0" t="s">
        <v>1224</v>
      </c>
      <c r="G645" s="0" t="s">
        <v>883</v>
      </c>
      <c r="H645" s="0" t="s">
        <v>1029</v>
      </c>
      <c r="I645" s="0" t="s">
        <v>1225</v>
      </c>
      <c r="J645" s="0" t="s">
        <v>652</v>
      </c>
    </row>
    <row r="646" customFormat="false" ht="15" hidden="false" customHeight="false" outlineLevel="0" collapsed="false">
      <c r="A646" s="0" t="s">
        <v>30</v>
      </c>
      <c r="B646" s="0" t="n">
        <v>6330</v>
      </c>
      <c r="C646" s="0" t="s">
        <v>1712</v>
      </c>
      <c r="D646" s="0" t="n">
        <v>100</v>
      </c>
      <c r="E646" s="0" t="n">
        <v>2397</v>
      </c>
      <c r="F646" s="0" t="s">
        <v>1224</v>
      </c>
      <c r="G646" s="0" t="s">
        <v>883</v>
      </c>
      <c r="H646" s="0" t="s">
        <v>1029</v>
      </c>
      <c r="I646" s="0" t="s">
        <v>1225</v>
      </c>
      <c r="J646" s="0" t="s">
        <v>652</v>
      </c>
    </row>
    <row r="647" customFormat="false" ht="15" hidden="false" customHeight="false" outlineLevel="0" collapsed="false">
      <c r="A647" s="0" t="s">
        <v>30</v>
      </c>
      <c r="B647" s="0" t="n">
        <v>21099</v>
      </c>
      <c r="C647" s="0" t="s">
        <v>1715</v>
      </c>
      <c r="D647" s="0" t="n">
        <v>80</v>
      </c>
      <c r="E647" s="0" t="n">
        <v>2397</v>
      </c>
      <c r="F647" s="0" t="s">
        <v>1224</v>
      </c>
      <c r="G647" s="0" t="s">
        <v>883</v>
      </c>
      <c r="H647" s="0" t="s">
        <v>1029</v>
      </c>
      <c r="I647" s="0" t="s">
        <v>1225</v>
      </c>
      <c r="J647" s="0" t="s">
        <v>652</v>
      </c>
    </row>
    <row r="648" customFormat="false" ht="15" hidden="false" customHeight="false" outlineLevel="0" collapsed="false">
      <c r="A648" s="0" t="s">
        <v>30</v>
      </c>
      <c r="B648" s="0" t="n">
        <v>6369</v>
      </c>
      <c r="C648" s="0" t="s">
        <v>1703</v>
      </c>
      <c r="D648" s="0" t="n">
        <v>175</v>
      </c>
      <c r="E648" s="0" t="n">
        <v>2383</v>
      </c>
      <c r="F648" s="0" t="s">
        <v>1724</v>
      </c>
      <c r="G648" s="0" t="s">
        <v>1725</v>
      </c>
      <c r="H648" s="0" t="s">
        <v>1029</v>
      </c>
      <c r="I648" s="0" t="s">
        <v>1726</v>
      </c>
      <c r="J648" s="0" t="s">
        <v>874</v>
      </c>
    </row>
    <row r="649" customFormat="false" ht="15" hidden="false" customHeight="false" outlineLevel="0" collapsed="false">
      <c r="A649" s="0" t="s">
        <v>30</v>
      </c>
      <c r="B649" s="0" t="n">
        <v>6330</v>
      </c>
      <c r="C649" s="0" t="s">
        <v>1712</v>
      </c>
      <c r="D649" s="0" t="n">
        <v>100</v>
      </c>
      <c r="E649" s="0" t="n">
        <v>2383</v>
      </c>
      <c r="F649" s="0" t="s">
        <v>1724</v>
      </c>
      <c r="G649" s="0" t="s">
        <v>1725</v>
      </c>
      <c r="H649" s="0" t="s">
        <v>1029</v>
      </c>
      <c r="I649" s="0" t="s">
        <v>1726</v>
      </c>
      <c r="J649" s="0" t="s">
        <v>874</v>
      </c>
    </row>
    <row r="650" customFormat="false" ht="15" hidden="false" customHeight="false" outlineLevel="0" collapsed="false">
      <c r="A650" s="0" t="s">
        <v>30</v>
      </c>
      <c r="B650" s="0" t="n">
        <v>17062</v>
      </c>
      <c r="C650" s="0" t="s">
        <v>1707</v>
      </c>
      <c r="D650" s="0" t="n">
        <v>175</v>
      </c>
      <c r="E650" s="0" t="n">
        <v>2383</v>
      </c>
      <c r="F650" s="0" t="s">
        <v>1724</v>
      </c>
      <c r="G650" s="0" t="s">
        <v>1725</v>
      </c>
      <c r="H650" s="0" t="s">
        <v>1029</v>
      </c>
      <c r="I650" s="0" t="s">
        <v>1726</v>
      </c>
      <c r="J650" s="0" t="s">
        <v>874</v>
      </c>
    </row>
    <row r="651" customFormat="false" ht="15" hidden="false" customHeight="false" outlineLevel="0" collapsed="false">
      <c r="A651" s="0" t="s">
        <v>30</v>
      </c>
      <c r="B651" s="0" t="n">
        <v>21219</v>
      </c>
      <c r="C651" s="0" t="s">
        <v>1714</v>
      </c>
      <c r="D651" s="0" t="n">
        <v>175</v>
      </c>
      <c r="E651" s="0" t="n">
        <v>2381</v>
      </c>
      <c r="F651" s="0" t="s">
        <v>1230</v>
      </c>
      <c r="G651" s="0" t="s">
        <v>1137</v>
      </c>
      <c r="H651" s="0" t="s">
        <v>1029</v>
      </c>
      <c r="I651" s="0" t="s">
        <v>1231</v>
      </c>
      <c r="J651" s="0" t="s">
        <v>874</v>
      </c>
    </row>
    <row r="652" customFormat="false" ht="15" hidden="false" customHeight="false" outlineLevel="0" collapsed="false">
      <c r="A652" s="0" t="s">
        <v>30</v>
      </c>
      <c r="B652" s="0" t="n">
        <v>21099</v>
      </c>
      <c r="C652" s="0" t="s">
        <v>1715</v>
      </c>
      <c r="D652" s="0" t="n">
        <v>80</v>
      </c>
      <c r="E652" s="0" t="n">
        <v>2381</v>
      </c>
      <c r="F652" s="0" t="s">
        <v>1230</v>
      </c>
      <c r="G652" s="0" t="s">
        <v>1137</v>
      </c>
      <c r="H652" s="0" t="s">
        <v>1029</v>
      </c>
      <c r="I652" s="0" t="s">
        <v>1231</v>
      </c>
      <c r="J652" s="0" t="s">
        <v>874</v>
      </c>
    </row>
    <row r="653" customFormat="false" ht="15" hidden="false" customHeight="false" outlineLevel="0" collapsed="false">
      <c r="A653" s="0" t="s">
        <v>30</v>
      </c>
      <c r="B653" s="0" t="n">
        <v>21219</v>
      </c>
      <c r="C653" s="0" t="s">
        <v>1714</v>
      </c>
      <c r="D653" s="0" t="n">
        <v>175</v>
      </c>
      <c r="E653" s="0" t="n">
        <v>4223</v>
      </c>
      <c r="F653" s="0" t="s">
        <v>1245</v>
      </c>
      <c r="G653" s="0" t="s">
        <v>1193</v>
      </c>
      <c r="H653" s="0" t="s">
        <v>876</v>
      </c>
      <c r="I653" s="0" t="s">
        <v>1246</v>
      </c>
      <c r="J653" s="0" t="s">
        <v>874</v>
      </c>
    </row>
    <row r="654" customFormat="false" ht="15" hidden="false" customHeight="false" outlineLevel="0" collapsed="false">
      <c r="A654" s="0" t="s">
        <v>30</v>
      </c>
      <c r="B654" s="0" t="n">
        <v>21099</v>
      </c>
      <c r="C654" s="0" t="s">
        <v>1715</v>
      </c>
      <c r="D654" s="0" t="n">
        <v>80</v>
      </c>
      <c r="E654" s="0" t="n">
        <v>4223</v>
      </c>
      <c r="F654" s="0" t="s">
        <v>1245</v>
      </c>
      <c r="G654" s="0" t="s">
        <v>1193</v>
      </c>
      <c r="H654" s="0" t="s">
        <v>876</v>
      </c>
      <c r="I654" s="0" t="s">
        <v>1246</v>
      </c>
      <c r="J654" s="0" t="s">
        <v>874</v>
      </c>
    </row>
    <row r="655" customFormat="false" ht="15" hidden="false" customHeight="false" outlineLevel="0" collapsed="false">
      <c r="A655" s="0" t="s">
        <v>30</v>
      </c>
      <c r="B655" s="0" t="n">
        <v>6325</v>
      </c>
      <c r="C655" s="0" t="s">
        <v>574</v>
      </c>
      <c r="D655" s="0" t="n">
        <v>1</v>
      </c>
      <c r="E655" s="0" t="n">
        <v>8508</v>
      </c>
      <c r="F655" s="0" t="s">
        <v>1727</v>
      </c>
      <c r="G655" s="0" t="s">
        <v>1710</v>
      </c>
      <c r="H655" s="0" t="s">
        <v>427</v>
      </c>
      <c r="I655" s="0" t="s">
        <v>1728</v>
      </c>
      <c r="J655" s="0" t="s">
        <v>874</v>
      </c>
    </row>
    <row r="656" customFormat="false" ht="15" hidden="false" customHeight="false" outlineLevel="0" collapsed="false">
      <c r="A656" s="0" t="s">
        <v>30</v>
      </c>
      <c r="B656" s="0" t="n">
        <v>5483</v>
      </c>
      <c r="C656" s="0" t="s">
        <v>1729</v>
      </c>
      <c r="D656" s="0" t="n">
        <v>20</v>
      </c>
      <c r="E656" s="0" t="n">
        <v>3881</v>
      </c>
      <c r="F656" s="0" t="s">
        <v>754</v>
      </c>
      <c r="G656" s="0" t="s">
        <v>1277</v>
      </c>
      <c r="H656" s="0" t="s">
        <v>422</v>
      </c>
      <c r="I656" s="0" t="s">
        <v>1278</v>
      </c>
      <c r="J656" s="0" t="s">
        <v>652</v>
      </c>
    </row>
    <row r="657" customFormat="false" ht="15" hidden="false" customHeight="false" outlineLevel="0" collapsed="false">
      <c r="A657" s="0" t="s">
        <v>30</v>
      </c>
      <c r="B657" s="0" t="n">
        <v>6326</v>
      </c>
      <c r="C657" s="0" t="s">
        <v>575</v>
      </c>
      <c r="D657" s="0" t="n">
        <v>1</v>
      </c>
      <c r="E657" s="0" t="n">
        <v>5942</v>
      </c>
      <c r="F657" s="0" t="s">
        <v>1730</v>
      </c>
      <c r="G657" s="0" t="s">
        <v>1710</v>
      </c>
      <c r="H657" s="0" t="s">
        <v>422</v>
      </c>
      <c r="I657" s="0" t="s">
        <v>1731</v>
      </c>
      <c r="J657" s="0" t="s">
        <v>652</v>
      </c>
    </row>
    <row r="658" customFormat="false" ht="15" hidden="false" customHeight="false" outlineLevel="0" collapsed="false">
      <c r="A658" s="0" t="s">
        <v>30</v>
      </c>
      <c r="B658" s="0" t="n">
        <v>6368</v>
      </c>
      <c r="C658" s="0" t="s">
        <v>1713</v>
      </c>
      <c r="D658" s="0" t="n">
        <v>50</v>
      </c>
      <c r="E658" s="0" t="n">
        <v>5942</v>
      </c>
      <c r="F658" s="0" t="s">
        <v>1730</v>
      </c>
      <c r="G658" s="0" t="s">
        <v>1710</v>
      </c>
      <c r="H658" s="0" t="s">
        <v>422</v>
      </c>
      <c r="I658" s="0" t="s">
        <v>1731</v>
      </c>
      <c r="J658" s="0" t="s">
        <v>652</v>
      </c>
    </row>
    <row r="659" customFormat="false" ht="15" hidden="false" customHeight="false" outlineLevel="0" collapsed="false">
      <c r="A659" s="0" t="s">
        <v>30</v>
      </c>
      <c r="B659" s="0" t="n">
        <v>12233</v>
      </c>
      <c r="C659" s="0" t="s">
        <v>1732</v>
      </c>
      <c r="D659" s="0" t="n">
        <v>175</v>
      </c>
      <c r="E659" s="0" t="n">
        <v>8150</v>
      </c>
      <c r="F659" s="0" t="s">
        <v>1297</v>
      </c>
      <c r="G659" s="0" t="s">
        <v>1155</v>
      </c>
      <c r="H659" s="0" t="s">
        <v>822</v>
      </c>
      <c r="I659" s="0" t="s">
        <v>1298</v>
      </c>
      <c r="J659" s="0" t="s">
        <v>874</v>
      </c>
    </row>
    <row r="660" customFormat="false" ht="15" hidden="false" customHeight="false" outlineLevel="0" collapsed="false">
      <c r="A660" s="0" t="s">
        <v>30</v>
      </c>
      <c r="B660" s="0" t="n">
        <v>12240</v>
      </c>
      <c r="C660" s="0" t="s">
        <v>1733</v>
      </c>
      <c r="D660" s="0" t="n">
        <v>200</v>
      </c>
      <c r="E660" s="0" t="n">
        <v>8150</v>
      </c>
      <c r="F660" s="0" t="s">
        <v>1297</v>
      </c>
      <c r="G660" s="0" t="s">
        <v>1155</v>
      </c>
      <c r="H660" s="0" t="s">
        <v>822</v>
      </c>
      <c r="I660" s="0" t="s">
        <v>1298</v>
      </c>
      <c r="J660" s="0" t="s">
        <v>874</v>
      </c>
    </row>
    <row r="661" customFormat="false" ht="15" hidden="false" customHeight="false" outlineLevel="0" collapsed="false">
      <c r="A661" s="0" t="s">
        <v>30</v>
      </c>
      <c r="B661" s="0" t="n">
        <v>12240</v>
      </c>
      <c r="C661" s="0" t="s">
        <v>1733</v>
      </c>
      <c r="D661" s="0" t="n">
        <v>200</v>
      </c>
      <c r="E661" s="0" t="n">
        <v>9636</v>
      </c>
      <c r="F661" s="0" t="s">
        <v>1299</v>
      </c>
      <c r="G661" s="0" t="s">
        <v>1137</v>
      </c>
      <c r="H661" s="0" t="s">
        <v>822</v>
      </c>
      <c r="I661" s="0" t="s">
        <v>1300</v>
      </c>
      <c r="J661" s="0" t="s">
        <v>652</v>
      </c>
    </row>
    <row r="662" customFormat="false" ht="15" hidden="false" customHeight="false" outlineLevel="0" collapsed="false">
      <c r="A662" s="0" t="s">
        <v>30</v>
      </c>
      <c r="B662" s="0" t="n">
        <v>12232</v>
      </c>
      <c r="C662" s="0" t="s">
        <v>1734</v>
      </c>
      <c r="D662" s="0" t="n">
        <v>175</v>
      </c>
      <c r="E662" s="0" t="n">
        <v>9636</v>
      </c>
      <c r="F662" s="0" t="s">
        <v>1299</v>
      </c>
      <c r="G662" s="0" t="s">
        <v>1137</v>
      </c>
      <c r="H662" s="0" t="s">
        <v>822</v>
      </c>
      <c r="I662" s="0" t="s">
        <v>1300</v>
      </c>
      <c r="J662" s="0" t="s">
        <v>652</v>
      </c>
    </row>
    <row r="663" customFormat="false" ht="15" hidden="false" customHeight="false" outlineLevel="0" collapsed="false">
      <c r="A663" s="0" t="s">
        <v>30</v>
      </c>
      <c r="B663" s="0" t="n">
        <v>16072</v>
      </c>
      <c r="C663" s="0" t="s">
        <v>1699</v>
      </c>
      <c r="D663" s="0" t="n">
        <v>125</v>
      </c>
      <c r="E663" s="0" t="n">
        <v>12033</v>
      </c>
      <c r="F663" s="0" t="s">
        <v>736</v>
      </c>
      <c r="G663" s="0" t="s">
        <v>1193</v>
      </c>
      <c r="H663" s="0" t="s">
        <v>822</v>
      </c>
      <c r="I663" s="0" t="s">
        <v>1305</v>
      </c>
      <c r="J663" s="0" t="s">
        <v>652</v>
      </c>
    </row>
    <row r="664" customFormat="false" ht="15" hidden="false" customHeight="false" outlineLevel="0" collapsed="false">
      <c r="A664" s="0" t="s">
        <v>30</v>
      </c>
      <c r="B664" s="0" t="n">
        <v>21219</v>
      </c>
      <c r="C664" s="0" t="s">
        <v>1714</v>
      </c>
      <c r="D664" s="0" t="n">
        <v>175</v>
      </c>
      <c r="E664" s="0" t="n">
        <v>12033</v>
      </c>
      <c r="F664" s="0" t="s">
        <v>736</v>
      </c>
      <c r="G664" s="0" t="s">
        <v>1193</v>
      </c>
      <c r="H664" s="0" t="s">
        <v>822</v>
      </c>
      <c r="I664" s="0" t="s">
        <v>1305</v>
      </c>
      <c r="J664" s="0" t="s">
        <v>652</v>
      </c>
    </row>
    <row r="665" customFormat="false" ht="15" hidden="false" customHeight="false" outlineLevel="0" collapsed="false">
      <c r="A665" s="0" t="s">
        <v>30</v>
      </c>
      <c r="B665" s="0" t="n">
        <v>6369</v>
      </c>
      <c r="C665" s="0" t="s">
        <v>1703</v>
      </c>
      <c r="D665" s="0" t="n">
        <v>175</v>
      </c>
      <c r="E665" s="0" t="n">
        <v>12033</v>
      </c>
      <c r="F665" s="0" t="s">
        <v>736</v>
      </c>
      <c r="G665" s="0" t="s">
        <v>1193</v>
      </c>
      <c r="H665" s="0" t="s">
        <v>822</v>
      </c>
      <c r="I665" s="0" t="s">
        <v>1305</v>
      </c>
      <c r="J665" s="0" t="s">
        <v>652</v>
      </c>
    </row>
    <row r="666" customFormat="false" ht="15" hidden="false" customHeight="false" outlineLevel="0" collapsed="false">
      <c r="A666" s="0" t="s">
        <v>30</v>
      </c>
      <c r="B666" s="0" t="n">
        <v>21099</v>
      </c>
      <c r="C666" s="0" t="s">
        <v>1715</v>
      </c>
      <c r="D666" s="0" t="n">
        <v>80</v>
      </c>
      <c r="E666" s="0" t="n">
        <v>12033</v>
      </c>
      <c r="F666" s="0" t="s">
        <v>736</v>
      </c>
      <c r="G666" s="0" t="s">
        <v>1193</v>
      </c>
      <c r="H666" s="0" t="s">
        <v>822</v>
      </c>
      <c r="I666" s="0" t="s">
        <v>1305</v>
      </c>
      <c r="J666" s="0" t="s">
        <v>652</v>
      </c>
    </row>
    <row r="667" customFormat="false" ht="15" hidden="false" customHeight="false" outlineLevel="0" collapsed="false">
      <c r="A667" s="0" t="s">
        <v>30</v>
      </c>
      <c r="B667" s="0" t="n">
        <v>17062</v>
      </c>
      <c r="C667" s="0" t="s">
        <v>1707</v>
      </c>
      <c r="D667" s="0" t="n">
        <v>175</v>
      </c>
      <c r="E667" s="0" t="n">
        <v>12033</v>
      </c>
      <c r="F667" s="0" t="s">
        <v>736</v>
      </c>
      <c r="G667" s="0" t="s">
        <v>1193</v>
      </c>
      <c r="H667" s="0" t="s">
        <v>822</v>
      </c>
      <c r="I667" s="0" t="s">
        <v>1305</v>
      </c>
      <c r="J667" s="0" t="s">
        <v>652</v>
      </c>
    </row>
    <row r="668" customFormat="false" ht="15" hidden="false" customHeight="false" outlineLevel="0" collapsed="false">
      <c r="A668" s="0" t="s">
        <v>30</v>
      </c>
      <c r="B668" s="0" t="n">
        <v>6325</v>
      </c>
      <c r="C668" s="0" t="s">
        <v>574</v>
      </c>
      <c r="D668" s="0" t="n">
        <v>1</v>
      </c>
      <c r="E668" s="0" t="n">
        <v>66</v>
      </c>
      <c r="F668" s="0" t="s">
        <v>1331</v>
      </c>
      <c r="G668" s="0" t="s">
        <v>1137</v>
      </c>
      <c r="H668" s="0" t="s">
        <v>885</v>
      </c>
      <c r="I668" s="0" t="s">
        <v>1332</v>
      </c>
      <c r="J668" s="0" t="s">
        <v>874</v>
      </c>
    </row>
    <row r="669" customFormat="false" ht="15" hidden="false" customHeight="false" outlineLevel="0" collapsed="false">
      <c r="A669" s="0" t="s">
        <v>30</v>
      </c>
      <c r="B669" s="0" t="n">
        <v>6328</v>
      </c>
      <c r="C669" s="0" t="s">
        <v>1735</v>
      </c>
      <c r="D669" s="0" t="n">
        <v>50</v>
      </c>
      <c r="E669" s="0" t="n">
        <v>66</v>
      </c>
      <c r="F669" s="0" t="s">
        <v>1331</v>
      </c>
      <c r="G669" s="0" t="s">
        <v>1137</v>
      </c>
      <c r="H669" s="0" t="s">
        <v>885</v>
      </c>
      <c r="I669" s="0" t="s">
        <v>1332</v>
      </c>
      <c r="J669" s="0" t="s">
        <v>874</v>
      </c>
    </row>
    <row r="670" customFormat="false" ht="15" hidden="false" customHeight="false" outlineLevel="0" collapsed="false">
      <c r="A670" s="0" t="s">
        <v>30</v>
      </c>
      <c r="B670" s="0" t="n">
        <v>6892</v>
      </c>
      <c r="C670" s="0" t="s">
        <v>578</v>
      </c>
      <c r="D670" s="0" t="n">
        <v>40</v>
      </c>
      <c r="E670" s="0" t="n">
        <v>3556</v>
      </c>
      <c r="F670" s="0" t="s">
        <v>576</v>
      </c>
      <c r="G670" s="0" t="s">
        <v>1137</v>
      </c>
      <c r="H670" s="0" t="s">
        <v>577</v>
      </c>
      <c r="I670" s="0" t="s">
        <v>1333</v>
      </c>
      <c r="J670" s="0" t="s">
        <v>652</v>
      </c>
    </row>
    <row r="671" customFormat="false" ht="15" hidden="false" customHeight="false" outlineLevel="0" collapsed="false">
      <c r="A671" s="0" t="s">
        <v>30</v>
      </c>
      <c r="B671" s="0" t="n">
        <v>6328</v>
      </c>
      <c r="C671" s="0" t="s">
        <v>1735</v>
      </c>
      <c r="D671" s="0" t="n">
        <v>50</v>
      </c>
      <c r="E671" s="0" t="n">
        <v>5748</v>
      </c>
      <c r="F671" s="0" t="s">
        <v>1736</v>
      </c>
      <c r="G671" s="0" t="s">
        <v>1618</v>
      </c>
      <c r="H671" s="0" t="s">
        <v>577</v>
      </c>
      <c r="I671" s="0" t="s">
        <v>1737</v>
      </c>
      <c r="J671" s="0" t="s">
        <v>652</v>
      </c>
    </row>
    <row r="672" customFormat="false" ht="15" hidden="false" customHeight="false" outlineLevel="0" collapsed="false">
      <c r="A672" s="0" t="s">
        <v>30</v>
      </c>
      <c r="B672" s="0" t="n">
        <v>6368</v>
      </c>
      <c r="C672" s="0" t="s">
        <v>1713</v>
      </c>
      <c r="D672" s="0" t="n">
        <v>50</v>
      </c>
      <c r="E672" s="0" t="n">
        <v>5748</v>
      </c>
      <c r="F672" s="0" t="s">
        <v>1736</v>
      </c>
      <c r="G672" s="0" t="s">
        <v>1618</v>
      </c>
      <c r="H672" s="0" t="s">
        <v>577</v>
      </c>
      <c r="I672" s="0" t="s">
        <v>1737</v>
      </c>
      <c r="J672" s="0" t="s">
        <v>652</v>
      </c>
    </row>
    <row r="673" customFormat="false" ht="15" hidden="false" customHeight="false" outlineLevel="0" collapsed="false">
      <c r="A673" s="0" t="s">
        <v>30</v>
      </c>
      <c r="B673" s="0" t="n">
        <v>12229</v>
      </c>
      <c r="C673" s="0" t="s">
        <v>1738</v>
      </c>
      <c r="D673" s="0" t="n">
        <v>175</v>
      </c>
      <c r="E673" s="0" t="n">
        <v>8145</v>
      </c>
      <c r="F673" s="0" t="s">
        <v>1358</v>
      </c>
      <c r="G673" s="0" t="s">
        <v>1137</v>
      </c>
      <c r="H673" s="0" t="s">
        <v>1345</v>
      </c>
      <c r="I673" s="0" t="s">
        <v>1359</v>
      </c>
      <c r="J673" s="0" t="s">
        <v>652</v>
      </c>
    </row>
    <row r="674" customFormat="false" ht="15" hidden="false" customHeight="false" outlineLevel="0" collapsed="false">
      <c r="A674" s="0" t="s">
        <v>30</v>
      </c>
      <c r="B674" s="0" t="n">
        <v>13949</v>
      </c>
      <c r="C674" s="0" t="s">
        <v>1739</v>
      </c>
      <c r="D674" s="0" t="n">
        <v>275</v>
      </c>
      <c r="E674" s="0" t="n">
        <v>8145</v>
      </c>
      <c r="F674" s="0" t="s">
        <v>1358</v>
      </c>
      <c r="G674" s="0" t="s">
        <v>1137</v>
      </c>
      <c r="H674" s="0" t="s">
        <v>1345</v>
      </c>
      <c r="I674" s="0" t="s">
        <v>1359</v>
      </c>
      <c r="J674" s="0" t="s">
        <v>652</v>
      </c>
    </row>
    <row r="675" customFormat="false" ht="15" hidden="false" customHeight="false" outlineLevel="0" collapsed="false">
      <c r="A675" s="0" t="s">
        <v>30</v>
      </c>
      <c r="B675" s="0" t="n">
        <v>13947</v>
      </c>
      <c r="C675" s="0" t="s">
        <v>1740</v>
      </c>
      <c r="D675" s="0" t="n">
        <v>275</v>
      </c>
      <c r="E675" s="0" t="n">
        <v>8145</v>
      </c>
      <c r="F675" s="0" t="s">
        <v>1358</v>
      </c>
      <c r="G675" s="0" t="s">
        <v>1137</v>
      </c>
      <c r="H675" s="0" t="s">
        <v>1345</v>
      </c>
      <c r="I675" s="0" t="s">
        <v>1359</v>
      </c>
      <c r="J675" s="0" t="s">
        <v>652</v>
      </c>
    </row>
    <row r="676" customFormat="false" ht="15" hidden="false" customHeight="false" outlineLevel="0" collapsed="false">
      <c r="A676" s="0" t="s">
        <v>30</v>
      </c>
      <c r="B676" s="0" t="n">
        <v>13948</v>
      </c>
      <c r="C676" s="0" t="s">
        <v>1741</v>
      </c>
      <c r="D676" s="0" t="n">
        <v>275</v>
      </c>
      <c r="E676" s="0" t="n">
        <v>8145</v>
      </c>
      <c r="F676" s="0" t="s">
        <v>1358</v>
      </c>
      <c r="G676" s="0" t="s">
        <v>1137</v>
      </c>
      <c r="H676" s="0" t="s">
        <v>1345</v>
      </c>
      <c r="I676" s="0" t="s">
        <v>1359</v>
      </c>
      <c r="J676" s="0" t="s">
        <v>652</v>
      </c>
    </row>
    <row r="677" customFormat="false" ht="15" hidden="false" customHeight="false" outlineLevel="0" collapsed="false">
      <c r="A677" s="0" t="s">
        <v>30</v>
      </c>
      <c r="B677" s="0" t="n">
        <v>12229</v>
      </c>
      <c r="C677" s="0" t="s">
        <v>1738</v>
      </c>
      <c r="D677" s="0" t="n">
        <v>175</v>
      </c>
      <c r="E677" s="0" t="n">
        <v>7947</v>
      </c>
      <c r="F677" s="0" t="s">
        <v>1360</v>
      </c>
      <c r="G677" s="0" t="s">
        <v>1137</v>
      </c>
      <c r="H677" s="0" t="s">
        <v>1345</v>
      </c>
      <c r="I677" s="0" t="s">
        <v>1361</v>
      </c>
      <c r="J677" s="0" t="s">
        <v>874</v>
      </c>
    </row>
    <row r="678" customFormat="false" ht="15" hidden="false" customHeight="false" outlineLevel="0" collapsed="false">
      <c r="A678" s="0" t="s">
        <v>30</v>
      </c>
      <c r="B678" s="0" t="n">
        <v>13949</v>
      </c>
      <c r="C678" s="0" t="s">
        <v>1739</v>
      </c>
      <c r="D678" s="0" t="n">
        <v>275</v>
      </c>
      <c r="E678" s="0" t="n">
        <v>7947</v>
      </c>
      <c r="F678" s="0" t="s">
        <v>1360</v>
      </c>
      <c r="G678" s="0" t="s">
        <v>1137</v>
      </c>
      <c r="H678" s="0" t="s">
        <v>1345</v>
      </c>
      <c r="I678" s="0" t="s">
        <v>1361</v>
      </c>
      <c r="J678" s="0" t="s">
        <v>874</v>
      </c>
    </row>
    <row r="679" customFormat="false" ht="15" hidden="false" customHeight="false" outlineLevel="0" collapsed="false">
      <c r="A679" s="0" t="s">
        <v>30</v>
      </c>
      <c r="B679" s="0" t="n">
        <v>13947</v>
      </c>
      <c r="C679" s="0" t="s">
        <v>1740</v>
      </c>
      <c r="D679" s="0" t="n">
        <v>275</v>
      </c>
      <c r="E679" s="0" t="n">
        <v>7947</v>
      </c>
      <c r="F679" s="0" t="s">
        <v>1360</v>
      </c>
      <c r="G679" s="0" t="s">
        <v>1137</v>
      </c>
      <c r="H679" s="0" t="s">
        <v>1345</v>
      </c>
      <c r="I679" s="0" t="s">
        <v>1361</v>
      </c>
      <c r="J679" s="0" t="s">
        <v>874</v>
      </c>
    </row>
    <row r="680" customFormat="false" ht="15" hidden="false" customHeight="false" outlineLevel="0" collapsed="false">
      <c r="A680" s="0" t="s">
        <v>30</v>
      </c>
      <c r="B680" s="0" t="n">
        <v>13948</v>
      </c>
      <c r="C680" s="0" t="s">
        <v>1741</v>
      </c>
      <c r="D680" s="0" t="n">
        <v>275</v>
      </c>
      <c r="E680" s="0" t="n">
        <v>7947</v>
      </c>
      <c r="F680" s="0" t="s">
        <v>1360</v>
      </c>
      <c r="G680" s="0" t="s">
        <v>1137</v>
      </c>
      <c r="H680" s="0" t="s">
        <v>1345</v>
      </c>
      <c r="I680" s="0" t="s">
        <v>1361</v>
      </c>
      <c r="J680" s="0" t="s">
        <v>874</v>
      </c>
    </row>
    <row r="681" customFormat="false" ht="15" hidden="false" customHeight="false" outlineLevel="0" collapsed="false">
      <c r="A681" s="0" t="s">
        <v>30</v>
      </c>
      <c r="B681" s="0" t="n">
        <v>16110</v>
      </c>
      <c r="C681" s="0" t="s">
        <v>1708</v>
      </c>
      <c r="D681" s="0" t="n">
        <v>225</v>
      </c>
      <c r="E681" s="0" t="n">
        <v>2806</v>
      </c>
      <c r="F681" s="0" t="s">
        <v>1362</v>
      </c>
      <c r="G681" s="0" t="s">
        <v>1140</v>
      </c>
      <c r="H681" s="0" t="s">
        <v>1363</v>
      </c>
      <c r="I681" s="0" t="s">
        <v>1364</v>
      </c>
      <c r="J681" s="0" t="s">
        <v>652</v>
      </c>
    </row>
    <row r="682" customFormat="false" ht="15" hidden="false" customHeight="false" outlineLevel="0" collapsed="false">
      <c r="A682" s="0" t="s">
        <v>30</v>
      </c>
      <c r="B682" s="0" t="n">
        <v>16110</v>
      </c>
      <c r="C682" s="0" t="s">
        <v>1708</v>
      </c>
      <c r="D682" s="0" t="n">
        <v>225</v>
      </c>
      <c r="E682" s="0" t="n">
        <v>2803</v>
      </c>
      <c r="F682" s="0" t="s">
        <v>1368</v>
      </c>
      <c r="G682" s="0" t="s">
        <v>1140</v>
      </c>
      <c r="H682" s="0" t="s">
        <v>1363</v>
      </c>
      <c r="I682" s="0" t="s">
        <v>1369</v>
      </c>
      <c r="J682" s="0" t="s">
        <v>874</v>
      </c>
    </row>
    <row r="683" customFormat="false" ht="15" hidden="false" customHeight="false" outlineLevel="0" collapsed="false">
      <c r="A683" s="0" t="s">
        <v>30</v>
      </c>
      <c r="B683" s="0" t="n">
        <v>12228</v>
      </c>
      <c r="C683" s="0" t="s">
        <v>1742</v>
      </c>
      <c r="D683" s="0" t="n">
        <v>175</v>
      </c>
      <c r="E683" s="0" t="n">
        <v>2810</v>
      </c>
      <c r="F683" s="0" t="s">
        <v>1385</v>
      </c>
      <c r="G683" s="0" t="s">
        <v>1386</v>
      </c>
      <c r="H683" s="0" t="s">
        <v>1381</v>
      </c>
      <c r="I683" s="0" t="s">
        <v>1387</v>
      </c>
      <c r="J683" s="0" t="s">
        <v>874</v>
      </c>
    </row>
    <row r="684" customFormat="false" ht="15" hidden="false" customHeight="false" outlineLevel="0" collapsed="false">
      <c r="A684" s="0" t="s">
        <v>30</v>
      </c>
      <c r="B684" s="0" t="n">
        <v>3682</v>
      </c>
      <c r="C684" s="0" t="s">
        <v>1054</v>
      </c>
      <c r="D684" s="0" t="n">
        <v>130</v>
      </c>
      <c r="E684" s="0" t="n">
        <v>2821</v>
      </c>
      <c r="F684" s="0" t="s">
        <v>786</v>
      </c>
      <c r="G684" s="0" t="s">
        <v>1137</v>
      </c>
      <c r="H684" s="0" t="s">
        <v>1381</v>
      </c>
      <c r="I684" s="0" t="s">
        <v>1388</v>
      </c>
      <c r="J684" s="0" t="s">
        <v>652</v>
      </c>
    </row>
    <row r="685" customFormat="false" ht="15" hidden="false" customHeight="false" outlineLevel="0" collapsed="false">
      <c r="A685" s="0" t="s">
        <v>30</v>
      </c>
      <c r="B685" s="0" t="n">
        <v>12228</v>
      </c>
      <c r="C685" s="0" t="s">
        <v>1742</v>
      </c>
      <c r="D685" s="0" t="n">
        <v>175</v>
      </c>
      <c r="E685" s="0" t="n">
        <v>2821</v>
      </c>
      <c r="F685" s="0" t="s">
        <v>786</v>
      </c>
      <c r="G685" s="0" t="s">
        <v>1137</v>
      </c>
      <c r="H685" s="0" t="s">
        <v>1381</v>
      </c>
      <c r="I685" s="0" t="s">
        <v>1388</v>
      </c>
      <c r="J685" s="0" t="s">
        <v>652</v>
      </c>
    </row>
    <row r="686" customFormat="false" ht="15" hidden="false" customHeight="false" outlineLevel="0" collapsed="false">
      <c r="A686" s="0" t="s">
        <v>30</v>
      </c>
      <c r="B686" s="0" t="n">
        <v>4609</v>
      </c>
      <c r="C686" s="0" t="s">
        <v>1075</v>
      </c>
      <c r="D686" s="0" t="n">
        <v>175</v>
      </c>
      <c r="E686" s="0" t="n">
        <v>2814</v>
      </c>
      <c r="F686" s="0" t="s">
        <v>1743</v>
      </c>
      <c r="G686" s="0" t="s">
        <v>1277</v>
      </c>
      <c r="H686" s="0" t="s">
        <v>1381</v>
      </c>
      <c r="I686" s="0" t="s">
        <v>1744</v>
      </c>
      <c r="J686" s="0" t="s">
        <v>874</v>
      </c>
    </row>
    <row r="687" customFormat="false" ht="15" hidden="false" customHeight="false" outlineLevel="0" collapsed="false">
      <c r="A687" s="0" t="s">
        <v>30</v>
      </c>
      <c r="B687" s="0" t="n">
        <v>21219</v>
      </c>
      <c r="C687" s="0" t="s">
        <v>1714</v>
      </c>
      <c r="D687" s="0" t="n">
        <v>175</v>
      </c>
      <c r="E687" s="0" t="n">
        <v>5160</v>
      </c>
      <c r="F687" s="0" t="s">
        <v>1402</v>
      </c>
      <c r="G687" s="0" t="s">
        <v>1193</v>
      </c>
      <c r="H687" s="0" t="s">
        <v>888</v>
      </c>
      <c r="I687" s="0" t="s">
        <v>1403</v>
      </c>
      <c r="J687" s="0" t="s">
        <v>874</v>
      </c>
    </row>
    <row r="688" customFormat="false" ht="15" hidden="false" customHeight="false" outlineLevel="0" collapsed="false">
      <c r="A688" s="0" t="s">
        <v>30</v>
      </c>
      <c r="B688" s="0" t="n">
        <v>21099</v>
      </c>
      <c r="C688" s="0" t="s">
        <v>1715</v>
      </c>
      <c r="D688" s="0" t="n">
        <v>80</v>
      </c>
      <c r="E688" s="0" t="n">
        <v>5160</v>
      </c>
      <c r="F688" s="0" t="s">
        <v>1402</v>
      </c>
      <c r="G688" s="0" t="s">
        <v>1193</v>
      </c>
      <c r="H688" s="0" t="s">
        <v>888</v>
      </c>
      <c r="I688" s="0" t="s">
        <v>1403</v>
      </c>
      <c r="J688" s="0" t="s">
        <v>874</v>
      </c>
    </row>
    <row r="689" customFormat="false" ht="15" hidden="false" customHeight="false" outlineLevel="0" collapsed="false">
      <c r="A689" s="0" t="s">
        <v>30</v>
      </c>
      <c r="B689" s="0" t="n">
        <v>6328</v>
      </c>
      <c r="C689" s="0" t="s">
        <v>1735</v>
      </c>
      <c r="D689" s="0" t="n">
        <v>50</v>
      </c>
      <c r="E689" s="0" t="n">
        <v>5162</v>
      </c>
      <c r="F689" s="0" t="s">
        <v>1745</v>
      </c>
      <c r="G689" s="0" t="s">
        <v>1710</v>
      </c>
      <c r="H689" s="0" t="s">
        <v>888</v>
      </c>
      <c r="I689" s="0" t="s">
        <v>1746</v>
      </c>
      <c r="J689" s="0" t="s">
        <v>874</v>
      </c>
    </row>
    <row r="690" customFormat="false" ht="15" hidden="false" customHeight="false" outlineLevel="0" collapsed="false">
      <c r="A690" s="0" t="s">
        <v>30</v>
      </c>
      <c r="B690" s="0" t="n">
        <v>6326</v>
      </c>
      <c r="C690" s="0" t="s">
        <v>575</v>
      </c>
      <c r="D690" s="0" t="n">
        <v>1</v>
      </c>
      <c r="E690" s="0" t="n">
        <v>5162</v>
      </c>
      <c r="F690" s="0" t="s">
        <v>1745</v>
      </c>
      <c r="G690" s="0" t="s">
        <v>1710</v>
      </c>
      <c r="H690" s="0" t="s">
        <v>888</v>
      </c>
      <c r="I690" s="0" t="s">
        <v>1746</v>
      </c>
      <c r="J690" s="0" t="s">
        <v>874</v>
      </c>
    </row>
    <row r="691" customFormat="false" ht="15" hidden="false" customHeight="false" outlineLevel="0" collapsed="false">
      <c r="A691" s="0" t="s">
        <v>30</v>
      </c>
      <c r="B691" s="0" t="n">
        <v>6369</v>
      </c>
      <c r="C691" s="0" t="s">
        <v>1703</v>
      </c>
      <c r="D691" s="0" t="n">
        <v>175</v>
      </c>
      <c r="E691" s="0" t="n">
        <v>5162</v>
      </c>
      <c r="F691" s="0" t="s">
        <v>1745</v>
      </c>
      <c r="G691" s="0" t="s">
        <v>1710</v>
      </c>
      <c r="H691" s="0" t="s">
        <v>888</v>
      </c>
      <c r="I691" s="0" t="s">
        <v>1746</v>
      </c>
      <c r="J691" s="0" t="s">
        <v>874</v>
      </c>
    </row>
    <row r="692" customFormat="false" ht="15" hidden="false" customHeight="false" outlineLevel="0" collapsed="false">
      <c r="A692" s="0" t="s">
        <v>30</v>
      </c>
      <c r="B692" s="0" t="n">
        <v>17062</v>
      </c>
      <c r="C692" s="0" t="s">
        <v>1707</v>
      </c>
      <c r="D692" s="0" t="n">
        <v>175</v>
      </c>
      <c r="E692" s="0" t="n">
        <v>5162</v>
      </c>
      <c r="F692" s="0" t="s">
        <v>1745</v>
      </c>
      <c r="G692" s="0" t="s">
        <v>1710</v>
      </c>
      <c r="H692" s="0" t="s">
        <v>888</v>
      </c>
      <c r="I692" s="0" t="s">
        <v>1746</v>
      </c>
      <c r="J692" s="0" t="s">
        <v>874</v>
      </c>
    </row>
    <row r="693" customFormat="false" ht="15" hidden="false" customHeight="false" outlineLevel="0" collapsed="false">
      <c r="A693" s="0" t="s">
        <v>30</v>
      </c>
      <c r="B693" s="0" t="n">
        <v>17200</v>
      </c>
      <c r="C693" s="0" t="s">
        <v>1721</v>
      </c>
      <c r="D693" s="0" t="n">
        <v>1</v>
      </c>
      <c r="E693" s="0" t="n">
        <v>13433</v>
      </c>
      <c r="F693" s="0" t="s">
        <v>1096</v>
      </c>
      <c r="G693" s="0" t="s">
        <v>1210</v>
      </c>
      <c r="H693" s="0" t="s">
        <v>888</v>
      </c>
      <c r="I693" s="0" t="s">
        <v>1097</v>
      </c>
      <c r="J693" s="0" t="s">
        <v>920</v>
      </c>
    </row>
    <row r="694" customFormat="false" ht="15" hidden="false" customHeight="false" outlineLevel="0" collapsed="false">
      <c r="A694" s="0" t="s">
        <v>30</v>
      </c>
      <c r="B694" s="0" t="n">
        <v>17201</v>
      </c>
      <c r="C694" s="0" t="s">
        <v>1722</v>
      </c>
      <c r="D694" s="0" t="n">
        <v>35</v>
      </c>
      <c r="E694" s="0" t="n">
        <v>13433</v>
      </c>
      <c r="F694" s="0" t="s">
        <v>1096</v>
      </c>
      <c r="G694" s="0" t="s">
        <v>1210</v>
      </c>
      <c r="H694" s="0" t="s">
        <v>888</v>
      </c>
      <c r="I694" s="0" t="s">
        <v>1097</v>
      </c>
      <c r="J694" s="0" t="s">
        <v>920</v>
      </c>
    </row>
    <row r="695" customFormat="false" ht="15" hidden="false" customHeight="false" outlineLevel="0" collapsed="false">
      <c r="A695" s="0" t="s">
        <v>30</v>
      </c>
      <c r="B695" s="0" t="n">
        <v>21219</v>
      </c>
      <c r="C695" s="0" t="s">
        <v>1714</v>
      </c>
      <c r="D695" s="0" t="n">
        <v>175</v>
      </c>
      <c r="E695" s="0" t="n">
        <v>3085</v>
      </c>
      <c r="F695" s="0" t="s">
        <v>1417</v>
      </c>
      <c r="G695" s="0" t="s">
        <v>1193</v>
      </c>
      <c r="H695" s="0" t="s">
        <v>891</v>
      </c>
      <c r="I695" s="0" t="s">
        <v>1418</v>
      </c>
      <c r="J695" s="0" t="s">
        <v>874</v>
      </c>
    </row>
    <row r="696" customFormat="false" ht="15" hidden="false" customHeight="false" outlineLevel="0" collapsed="false">
      <c r="A696" s="0" t="s">
        <v>30</v>
      </c>
      <c r="B696" s="0" t="n">
        <v>21099</v>
      </c>
      <c r="C696" s="0" t="s">
        <v>1715</v>
      </c>
      <c r="D696" s="0" t="n">
        <v>80</v>
      </c>
      <c r="E696" s="0" t="n">
        <v>3085</v>
      </c>
      <c r="F696" s="0" t="s">
        <v>1417</v>
      </c>
      <c r="G696" s="0" t="s">
        <v>1193</v>
      </c>
      <c r="H696" s="0" t="s">
        <v>891</v>
      </c>
      <c r="I696" s="0" t="s">
        <v>1418</v>
      </c>
      <c r="J696" s="0" t="s">
        <v>874</v>
      </c>
    </row>
    <row r="697" customFormat="false" ht="15" hidden="false" customHeight="false" outlineLevel="0" collapsed="false">
      <c r="A697" s="0" t="s">
        <v>30</v>
      </c>
      <c r="B697" s="0" t="n">
        <v>21219</v>
      </c>
      <c r="C697" s="0" t="s">
        <v>1714</v>
      </c>
      <c r="D697" s="0" t="n">
        <v>175</v>
      </c>
      <c r="E697" s="0" t="n">
        <v>14738</v>
      </c>
      <c r="F697" s="0" t="s">
        <v>1434</v>
      </c>
      <c r="G697" s="0" t="s">
        <v>1193</v>
      </c>
      <c r="H697" s="0" t="s">
        <v>1428</v>
      </c>
      <c r="I697" s="0" t="s">
        <v>1435</v>
      </c>
      <c r="J697" s="0" t="s">
        <v>652</v>
      </c>
    </row>
    <row r="698" customFormat="false" ht="15" hidden="false" customHeight="false" outlineLevel="0" collapsed="false">
      <c r="A698" s="0" t="s">
        <v>30</v>
      </c>
      <c r="B698" s="0" t="n">
        <v>21099</v>
      </c>
      <c r="C698" s="0" t="s">
        <v>1715</v>
      </c>
      <c r="D698" s="0" t="n">
        <v>80</v>
      </c>
      <c r="E698" s="0" t="n">
        <v>14738</v>
      </c>
      <c r="F698" s="0" t="s">
        <v>1434</v>
      </c>
      <c r="G698" s="0" t="s">
        <v>1193</v>
      </c>
      <c r="H698" s="0" t="s">
        <v>1428</v>
      </c>
      <c r="I698" s="0" t="s">
        <v>1435</v>
      </c>
      <c r="J698" s="0" t="s">
        <v>652</v>
      </c>
    </row>
    <row r="699" customFormat="false" ht="15" hidden="false" customHeight="false" outlineLevel="0" collapsed="false">
      <c r="A699" s="0" t="s">
        <v>30</v>
      </c>
      <c r="B699" s="0" t="n">
        <v>18046</v>
      </c>
      <c r="C699" s="0" t="s">
        <v>1747</v>
      </c>
      <c r="D699" s="0" t="n">
        <v>225</v>
      </c>
      <c r="E699" s="0" t="n">
        <v>4782</v>
      </c>
      <c r="F699" s="0" t="s">
        <v>1436</v>
      </c>
      <c r="G699" s="0" t="s">
        <v>1175</v>
      </c>
      <c r="H699" s="0" t="s">
        <v>1428</v>
      </c>
      <c r="I699" s="0" t="s">
        <v>1437</v>
      </c>
      <c r="J699" s="0" t="s">
        <v>874</v>
      </c>
    </row>
    <row r="700" customFormat="false" ht="15" hidden="false" customHeight="false" outlineLevel="0" collapsed="false">
      <c r="A700" s="0" t="s">
        <v>30</v>
      </c>
      <c r="B700" s="0" t="n">
        <v>6369</v>
      </c>
      <c r="C700" s="0" t="s">
        <v>1703</v>
      </c>
      <c r="D700" s="0" t="n">
        <v>175</v>
      </c>
      <c r="E700" s="0" t="n">
        <v>3178</v>
      </c>
      <c r="F700" s="0" t="s">
        <v>1748</v>
      </c>
      <c r="G700" s="0" t="s">
        <v>1618</v>
      </c>
      <c r="H700" s="0" t="s">
        <v>1039</v>
      </c>
      <c r="I700" s="0" t="s">
        <v>1749</v>
      </c>
      <c r="J700" s="0" t="s">
        <v>874</v>
      </c>
    </row>
    <row r="701" customFormat="false" ht="15" hidden="false" customHeight="false" outlineLevel="0" collapsed="false">
      <c r="A701" s="0" t="s">
        <v>30</v>
      </c>
      <c r="B701" s="0" t="n">
        <v>6368</v>
      </c>
      <c r="C701" s="0" t="s">
        <v>1713</v>
      </c>
      <c r="D701" s="0" t="n">
        <v>50</v>
      </c>
      <c r="E701" s="0" t="n">
        <v>3178</v>
      </c>
      <c r="F701" s="0" t="s">
        <v>1748</v>
      </c>
      <c r="G701" s="0" t="s">
        <v>1618</v>
      </c>
      <c r="H701" s="0" t="s">
        <v>1039</v>
      </c>
      <c r="I701" s="0" t="s">
        <v>1749</v>
      </c>
      <c r="J701" s="0" t="s">
        <v>874</v>
      </c>
    </row>
    <row r="702" customFormat="false" ht="15" hidden="false" customHeight="false" outlineLevel="0" collapsed="false">
      <c r="A702" s="0" t="s">
        <v>30</v>
      </c>
      <c r="B702" s="0" t="n">
        <v>17062</v>
      </c>
      <c r="C702" s="0" t="s">
        <v>1707</v>
      </c>
      <c r="D702" s="0" t="n">
        <v>175</v>
      </c>
      <c r="E702" s="0" t="n">
        <v>3178</v>
      </c>
      <c r="F702" s="0" t="s">
        <v>1748</v>
      </c>
      <c r="G702" s="0" t="s">
        <v>1618</v>
      </c>
      <c r="H702" s="0" t="s">
        <v>1039</v>
      </c>
      <c r="I702" s="0" t="s">
        <v>1749</v>
      </c>
      <c r="J702" s="0" t="s">
        <v>874</v>
      </c>
    </row>
    <row r="703" customFormat="false" ht="15" hidden="false" customHeight="false" outlineLevel="0" collapsed="false">
      <c r="A703" s="0" t="s">
        <v>30</v>
      </c>
      <c r="B703" s="0" t="n">
        <v>6330</v>
      </c>
      <c r="C703" s="0" t="s">
        <v>1712</v>
      </c>
      <c r="D703" s="0" t="n">
        <v>100</v>
      </c>
      <c r="E703" s="0" t="n">
        <v>3497</v>
      </c>
      <c r="F703" s="0" t="s">
        <v>1750</v>
      </c>
      <c r="G703" s="0" t="s">
        <v>1618</v>
      </c>
      <c r="H703" s="0" t="s">
        <v>895</v>
      </c>
      <c r="I703" s="0" t="s">
        <v>1751</v>
      </c>
      <c r="J703" s="0" t="s">
        <v>920</v>
      </c>
    </row>
    <row r="704" customFormat="false" ht="15" hidden="false" customHeight="false" outlineLevel="0" collapsed="false">
      <c r="A704" s="0" t="s">
        <v>30</v>
      </c>
      <c r="B704" s="0" t="n">
        <v>6368</v>
      </c>
      <c r="C704" s="0" t="s">
        <v>1713</v>
      </c>
      <c r="D704" s="0" t="n">
        <v>50</v>
      </c>
      <c r="E704" s="0" t="n">
        <v>3497</v>
      </c>
      <c r="F704" s="0" t="s">
        <v>1750</v>
      </c>
      <c r="G704" s="0" t="s">
        <v>1618</v>
      </c>
      <c r="H704" s="0" t="s">
        <v>895</v>
      </c>
      <c r="I704" s="0" t="s">
        <v>1751</v>
      </c>
      <c r="J704" s="0" t="s">
        <v>920</v>
      </c>
    </row>
    <row r="705" customFormat="false" ht="15" hidden="false" customHeight="false" outlineLevel="0" collapsed="false">
      <c r="A705" s="0" t="s">
        <v>30</v>
      </c>
      <c r="B705" s="0" t="n">
        <v>21219</v>
      </c>
      <c r="C705" s="0" t="s">
        <v>1714</v>
      </c>
      <c r="D705" s="0" t="n">
        <v>175</v>
      </c>
      <c r="E705" s="0" t="n">
        <v>8307</v>
      </c>
      <c r="F705" s="0" t="s">
        <v>1478</v>
      </c>
      <c r="G705" s="0" t="s">
        <v>1148</v>
      </c>
      <c r="H705" s="0" t="s">
        <v>895</v>
      </c>
      <c r="I705" s="0" t="s">
        <v>1479</v>
      </c>
      <c r="J705" s="0" t="s">
        <v>652</v>
      </c>
    </row>
    <row r="706" customFormat="false" ht="15" hidden="false" customHeight="false" outlineLevel="0" collapsed="false">
      <c r="A706" s="0" t="s">
        <v>30</v>
      </c>
      <c r="B706" s="0" t="n">
        <v>21099</v>
      </c>
      <c r="C706" s="0" t="s">
        <v>1715</v>
      </c>
      <c r="D706" s="0" t="n">
        <v>80</v>
      </c>
      <c r="E706" s="0" t="n">
        <v>8307</v>
      </c>
      <c r="F706" s="0" t="s">
        <v>1478</v>
      </c>
      <c r="G706" s="0" t="s">
        <v>1148</v>
      </c>
      <c r="H706" s="0" t="s">
        <v>895</v>
      </c>
      <c r="I706" s="0" t="s">
        <v>1479</v>
      </c>
      <c r="J706" s="0" t="s">
        <v>652</v>
      </c>
    </row>
    <row r="707" customFormat="false" ht="15" hidden="false" customHeight="false" outlineLevel="0" collapsed="false">
      <c r="A707" s="0" t="s">
        <v>30</v>
      </c>
      <c r="B707" s="0" t="n">
        <v>5486</v>
      </c>
      <c r="C707" s="0" t="s">
        <v>975</v>
      </c>
      <c r="D707" s="0" t="n">
        <v>50</v>
      </c>
      <c r="E707" s="0" t="n">
        <v>3482</v>
      </c>
      <c r="F707" s="0" t="s">
        <v>768</v>
      </c>
      <c r="G707" s="0" t="s">
        <v>1137</v>
      </c>
      <c r="H707" s="0" t="s">
        <v>895</v>
      </c>
      <c r="I707" s="0" t="s">
        <v>1480</v>
      </c>
      <c r="J707" s="0" t="s">
        <v>652</v>
      </c>
    </row>
    <row r="708" customFormat="false" ht="15" hidden="false" customHeight="false" outlineLevel="0" collapsed="false">
      <c r="A708" s="0" t="s">
        <v>30</v>
      </c>
      <c r="B708" s="0" t="n">
        <v>5488</v>
      </c>
      <c r="C708" s="0" t="s">
        <v>1752</v>
      </c>
      <c r="D708" s="0" t="n">
        <v>100</v>
      </c>
      <c r="E708" s="0" t="n">
        <v>3482</v>
      </c>
      <c r="F708" s="0" t="s">
        <v>768</v>
      </c>
      <c r="G708" s="0" t="s">
        <v>1137</v>
      </c>
      <c r="H708" s="0" t="s">
        <v>895</v>
      </c>
      <c r="I708" s="0" t="s">
        <v>1480</v>
      </c>
      <c r="J708" s="0" t="s">
        <v>652</v>
      </c>
    </row>
    <row r="709" customFormat="false" ht="15" hidden="false" customHeight="false" outlineLevel="0" collapsed="false">
      <c r="A709" s="0" t="s">
        <v>30</v>
      </c>
      <c r="B709" s="0" t="n">
        <v>3735</v>
      </c>
      <c r="C709" s="0" t="s">
        <v>1048</v>
      </c>
      <c r="D709" s="0" t="n">
        <v>125</v>
      </c>
      <c r="E709" s="0" t="n">
        <v>3489</v>
      </c>
      <c r="F709" s="0" t="s">
        <v>779</v>
      </c>
      <c r="G709" s="0" t="s">
        <v>1277</v>
      </c>
      <c r="H709" s="0" t="s">
        <v>895</v>
      </c>
      <c r="I709" s="0" t="s">
        <v>1753</v>
      </c>
      <c r="J709" s="0" t="s">
        <v>652</v>
      </c>
    </row>
    <row r="710" customFormat="false" ht="15" hidden="false" customHeight="false" outlineLevel="0" collapsed="false">
      <c r="A710" s="0" t="s">
        <v>30</v>
      </c>
      <c r="B710" s="0" t="n">
        <v>6892</v>
      </c>
      <c r="C710" s="0" t="s">
        <v>578</v>
      </c>
      <c r="D710" s="0" t="n">
        <v>40</v>
      </c>
      <c r="E710" s="0" t="n">
        <v>1465</v>
      </c>
      <c r="F710" s="0" t="s">
        <v>1483</v>
      </c>
      <c r="G710" s="0" t="s">
        <v>1172</v>
      </c>
      <c r="H710" s="0" t="s">
        <v>406</v>
      </c>
      <c r="I710" s="0" t="s">
        <v>1484</v>
      </c>
      <c r="J710" s="0" t="s">
        <v>874</v>
      </c>
    </row>
    <row r="711" customFormat="false" ht="15" hidden="false" customHeight="false" outlineLevel="0" collapsed="false">
      <c r="A711" s="0" t="s">
        <v>30</v>
      </c>
      <c r="B711" s="0" t="n">
        <v>6329</v>
      </c>
      <c r="C711" s="0" t="s">
        <v>1754</v>
      </c>
      <c r="D711" s="0" t="n">
        <v>50</v>
      </c>
      <c r="E711" s="0" t="n">
        <v>1684</v>
      </c>
      <c r="F711" s="0" t="s">
        <v>1755</v>
      </c>
      <c r="G711" s="0" t="s">
        <v>1710</v>
      </c>
      <c r="H711" s="0" t="s">
        <v>406</v>
      </c>
      <c r="I711" s="0" t="s">
        <v>1756</v>
      </c>
      <c r="J711" s="0" t="s">
        <v>874</v>
      </c>
    </row>
    <row r="712" customFormat="false" ht="15" hidden="false" customHeight="false" outlineLevel="0" collapsed="false">
      <c r="A712" s="0" t="s">
        <v>30</v>
      </c>
      <c r="B712" s="0" t="n">
        <v>6325</v>
      </c>
      <c r="C712" s="0" t="s">
        <v>574</v>
      </c>
      <c r="D712" s="0" t="n">
        <v>1</v>
      </c>
      <c r="E712" s="0" t="n">
        <v>1684</v>
      </c>
      <c r="F712" s="0" t="s">
        <v>1755</v>
      </c>
      <c r="G712" s="0" t="s">
        <v>1710</v>
      </c>
      <c r="H712" s="0" t="s">
        <v>406</v>
      </c>
      <c r="I712" s="0" t="s">
        <v>1756</v>
      </c>
      <c r="J712" s="0" t="s">
        <v>874</v>
      </c>
    </row>
    <row r="713" customFormat="false" ht="15" hidden="false" customHeight="false" outlineLevel="0" collapsed="false">
      <c r="A713" s="0" t="s">
        <v>30</v>
      </c>
      <c r="B713" s="0" t="n">
        <v>6328</v>
      </c>
      <c r="C713" s="0" t="s">
        <v>1735</v>
      </c>
      <c r="D713" s="0" t="n">
        <v>50</v>
      </c>
      <c r="E713" s="0" t="n">
        <v>1684</v>
      </c>
      <c r="F713" s="0" t="s">
        <v>1755</v>
      </c>
      <c r="G713" s="0" t="s">
        <v>1710</v>
      </c>
      <c r="H713" s="0" t="s">
        <v>406</v>
      </c>
      <c r="I713" s="0" t="s">
        <v>1756</v>
      </c>
      <c r="J713" s="0" t="s">
        <v>874</v>
      </c>
    </row>
    <row r="714" customFormat="false" ht="15" hidden="false" customHeight="false" outlineLevel="0" collapsed="false">
      <c r="A714" s="0" t="s">
        <v>30</v>
      </c>
      <c r="B714" s="0" t="n">
        <v>16111</v>
      </c>
      <c r="C714" s="0" t="s">
        <v>1757</v>
      </c>
      <c r="D714" s="0" t="n">
        <v>225</v>
      </c>
      <c r="E714" s="0" t="n">
        <v>989</v>
      </c>
      <c r="F714" s="0" t="s">
        <v>1502</v>
      </c>
      <c r="G714" s="0" t="s">
        <v>1137</v>
      </c>
      <c r="H714" s="0" t="s">
        <v>1503</v>
      </c>
      <c r="I714" s="0" t="s">
        <v>1504</v>
      </c>
      <c r="J714" s="0" t="s">
        <v>652</v>
      </c>
    </row>
    <row r="715" customFormat="false" ht="15" hidden="false" customHeight="false" outlineLevel="0" collapsed="false">
      <c r="A715" s="0" t="s">
        <v>30</v>
      </c>
      <c r="B715" s="0" t="n">
        <v>12232</v>
      </c>
      <c r="C715" s="0" t="s">
        <v>1734</v>
      </c>
      <c r="D715" s="0" t="n">
        <v>175</v>
      </c>
      <c r="E715" s="0" t="n">
        <v>989</v>
      </c>
      <c r="F715" s="0" t="s">
        <v>1502</v>
      </c>
      <c r="G715" s="0" t="s">
        <v>1137</v>
      </c>
      <c r="H715" s="0" t="s">
        <v>1503</v>
      </c>
      <c r="I715" s="0" t="s">
        <v>1504</v>
      </c>
      <c r="J715" s="0" t="s">
        <v>652</v>
      </c>
    </row>
    <row r="716" customFormat="false" ht="15" hidden="false" customHeight="false" outlineLevel="0" collapsed="false">
      <c r="A716" s="0" t="s">
        <v>30</v>
      </c>
      <c r="B716" s="0" t="n">
        <v>16111</v>
      </c>
      <c r="C716" s="0" t="s">
        <v>1757</v>
      </c>
      <c r="D716" s="0" t="n">
        <v>225</v>
      </c>
      <c r="E716" s="0" t="n">
        <v>4305</v>
      </c>
      <c r="F716" s="0" t="s">
        <v>1758</v>
      </c>
      <c r="G716" s="0" t="s">
        <v>1618</v>
      </c>
      <c r="H716" s="0" t="s">
        <v>983</v>
      </c>
      <c r="I716" s="0" t="s">
        <v>1759</v>
      </c>
      <c r="J716" s="0" t="s">
        <v>874</v>
      </c>
    </row>
    <row r="717" customFormat="false" ht="15" hidden="false" customHeight="false" outlineLevel="0" collapsed="false">
      <c r="A717" s="0" t="s">
        <v>30</v>
      </c>
      <c r="B717" s="0" t="n">
        <v>6326</v>
      </c>
      <c r="C717" s="0" t="s">
        <v>575</v>
      </c>
      <c r="D717" s="0" t="n">
        <v>1</v>
      </c>
      <c r="E717" s="0" t="n">
        <v>4305</v>
      </c>
      <c r="F717" s="0" t="s">
        <v>1758</v>
      </c>
      <c r="G717" s="0" t="s">
        <v>1618</v>
      </c>
      <c r="H717" s="0" t="s">
        <v>983</v>
      </c>
      <c r="I717" s="0" t="s">
        <v>1759</v>
      </c>
      <c r="J717" s="0" t="s">
        <v>874</v>
      </c>
    </row>
    <row r="718" customFormat="false" ht="15" hidden="false" customHeight="false" outlineLevel="0" collapsed="false">
      <c r="A718" s="0" t="s">
        <v>30</v>
      </c>
      <c r="B718" s="0" t="n">
        <v>5528</v>
      </c>
      <c r="C718" s="0" t="s">
        <v>1760</v>
      </c>
      <c r="D718" s="0" t="n">
        <v>90</v>
      </c>
      <c r="E718" s="0" t="n">
        <v>4305</v>
      </c>
      <c r="F718" s="0" t="s">
        <v>1758</v>
      </c>
      <c r="G718" s="0" t="s">
        <v>1618</v>
      </c>
      <c r="H718" s="0" t="s">
        <v>983</v>
      </c>
      <c r="I718" s="0" t="s">
        <v>1759</v>
      </c>
      <c r="J718" s="0" t="s">
        <v>874</v>
      </c>
    </row>
    <row r="719" customFormat="false" ht="15" hidden="false" customHeight="false" outlineLevel="0" collapsed="false">
      <c r="A719" s="0" t="s">
        <v>30</v>
      </c>
      <c r="B719" s="0" t="n">
        <v>6368</v>
      </c>
      <c r="C719" s="0" t="s">
        <v>1713</v>
      </c>
      <c r="D719" s="0" t="n">
        <v>50</v>
      </c>
      <c r="E719" s="0" t="n">
        <v>4305</v>
      </c>
      <c r="F719" s="0" t="s">
        <v>1758</v>
      </c>
      <c r="G719" s="0" t="s">
        <v>1618</v>
      </c>
      <c r="H719" s="0" t="s">
        <v>983</v>
      </c>
      <c r="I719" s="0" t="s">
        <v>1759</v>
      </c>
      <c r="J719" s="0" t="s">
        <v>874</v>
      </c>
    </row>
    <row r="720" customFormat="false" ht="15" hidden="false" customHeight="false" outlineLevel="0" collapsed="false">
      <c r="A720" s="0" t="s">
        <v>30</v>
      </c>
      <c r="B720" s="0" t="n">
        <v>12239</v>
      </c>
      <c r="C720" s="0" t="s">
        <v>1761</v>
      </c>
      <c r="D720" s="0" t="n">
        <v>200</v>
      </c>
      <c r="E720" s="0" t="n">
        <v>4897</v>
      </c>
      <c r="F720" s="0" t="s">
        <v>1524</v>
      </c>
      <c r="G720" s="0" t="s">
        <v>1137</v>
      </c>
      <c r="H720" s="0" t="s">
        <v>1066</v>
      </c>
      <c r="I720" s="0" t="s">
        <v>1525</v>
      </c>
      <c r="J720" s="0" t="s">
        <v>874</v>
      </c>
    </row>
    <row r="721" customFormat="false" ht="15" hidden="false" customHeight="false" outlineLevel="0" collapsed="false">
      <c r="A721" s="0" t="s">
        <v>30</v>
      </c>
      <c r="B721" s="0" t="n">
        <v>12233</v>
      </c>
      <c r="C721" s="0" t="s">
        <v>1732</v>
      </c>
      <c r="D721" s="0" t="n">
        <v>175</v>
      </c>
      <c r="E721" s="0" t="n">
        <v>4897</v>
      </c>
      <c r="F721" s="0" t="s">
        <v>1524</v>
      </c>
      <c r="G721" s="0" t="s">
        <v>1137</v>
      </c>
      <c r="H721" s="0" t="s">
        <v>1066</v>
      </c>
      <c r="I721" s="0" t="s">
        <v>1525</v>
      </c>
      <c r="J721" s="0" t="s">
        <v>874</v>
      </c>
    </row>
    <row r="722" customFormat="false" ht="15" hidden="false" customHeight="false" outlineLevel="0" collapsed="false">
      <c r="A722" s="0" t="s">
        <v>30</v>
      </c>
      <c r="B722" s="0" t="n">
        <v>12228</v>
      </c>
      <c r="C722" s="0" t="s">
        <v>1742</v>
      </c>
      <c r="D722" s="0" t="n">
        <v>175</v>
      </c>
      <c r="E722" s="0" t="n">
        <v>4897</v>
      </c>
      <c r="F722" s="0" t="s">
        <v>1524</v>
      </c>
      <c r="G722" s="0" t="s">
        <v>1137</v>
      </c>
      <c r="H722" s="0" t="s">
        <v>1066</v>
      </c>
      <c r="I722" s="0" t="s">
        <v>1525</v>
      </c>
      <c r="J722" s="0" t="s">
        <v>874</v>
      </c>
    </row>
    <row r="723" customFormat="false" ht="15" hidden="false" customHeight="false" outlineLevel="0" collapsed="false">
      <c r="A723" s="0" t="s">
        <v>30</v>
      </c>
      <c r="B723" s="0" t="n">
        <v>12239</v>
      </c>
      <c r="C723" s="0" t="s">
        <v>1761</v>
      </c>
      <c r="D723" s="0" t="n">
        <v>200</v>
      </c>
      <c r="E723" s="0" t="n">
        <v>4879</v>
      </c>
      <c r="F723" s="0" t="s">
        <v>791</v>
      </c>
      <c r="G723" s="0" t="s">
        <v>1277</v>
      </c>
      <c r="H723" s="0" t="s">
        <v>1066</v>
      </c>
      <c r="I723" s="0" t="s">
        <v>1528</v>
      </c>
      <c r="J723" s="0" t="s">
        <v>652</v>
      </c>
    </row>
    <row r="724" customFormat="false" ht="15" hidden="false" customHeight="false" outlineLevel="0" collapsed="false">
      <c r="A724" s="0" t="s">
        <v>30</v>
      </c>
      <c r="B724" s="0" t="n">
        <v>20075</v>
      </c>
      <c r="C724" s="0" t="s">
        <v>1762</v>
      </c>
      <c r="D724" s="0" t="n">
        <v>150</v>
      </c>
      <c r="E724" s="0" t="n">
        <v>4879</v>
      </c>
      <c r="F724" s="0" t="s">
        <v>791</v>
      </c>
      <c r="G724" s="0" t="s">
        <v>1277</v>
      </c>
      <c r="H724" s="0" t="s">
        <v>1066</v>
      </c>
      <c r="I724" s="0" t="s">
        <v>1528</v>
      </c>
      <c r="J724" s="0" t="s">
        <v>652</v>
      </c>
    </row>
    <row r="725" customFormat="false" ht="15" hidden="false" customHeight="false" outlineLevel="0" collapsed="false">
      <c r="A725" s="0" t="s">
        <v>30</v>
      </c>
      <c r="B725" s="0" t="n">
        <v>12228</v>
      </c>
      <c r="C725" s="0" t="s">
        <v>1742</v>
      </c>
      <c r="D725" s="0" t="n">
        <v>175</v>
      </c>
      <c r="E725" s="0" t="n">
        <v>4879</v>
      </c>
      <c r="F725" s="0" t="s">
        <v>791</v>
      </c>
      <c r="G725" s="0" t="s">
        <v>1277</v>
      </c>
      <c r="H725" s="0" t="s">
        <v>1066</v>
      </c>
      <c r="I725" s="0" t="s">
        <v>1528</v>
      </c>
      <c r="J725" s="0" t="s">
        <v>652</v>
      </c>
    </row>
    <row r="726" customFormat="false" ht="15" hidden="false" customHeight="false" outlineLevel="0" collapsed="false">
      <c r="A726" s="0" t="s">
        <v>30</v>
      </c>
      <c r="B726" s="0" t="n">
        <v>12232</v>
      </c>
      <c r="C726" s="0" t="s">
        <v>1734</v>
      </c>
      <c r="D726" s="0" t="n">
        <v>175</v>
      </c>
      <c r="E726" s="0" t="n">
        <v>4879</v>
      </c>
      <c r="F726" s="0" t="s">
        <v>791</v>
      </c>
      <c r="G726" s="0" t="s">
        <v>1277</v>
      </c>
      <c r="H726" s="0" t="s">
        <v>1066</v>
      </c>
      <c r="I726" s="0" t="s">
        <v>1528</v>
      </c>
      <c r="J726" s="0" t="s">
        <v>652</v>
      </c>
    </row>
    <row r="727" customFormat="false" ht="15" hidden="false" customHeight="false" outlineLevel="0" collapsed="false">
      <c r="A727" s="0" t="s">
        <v>30</v>
      </c>
      <c r="B727" s="0" t="n">
        <v>6325</v>
      </c>
      <c r="C727" s="0" t="s">
        <v>574</v>
      </c>
      <c r="D727" s="0" t="n">
        <v>1</v>
      </c>
      <c r="E727" s="0" t="n">
        <v>5940</v>
      </c>
      <c r="F727" s="0" t="s">
        <v>1763</v>
      </c>
      <c r="G727" s="0" t="s">
        <v>1710</v>
      </c>
      <c r="H727" s="0" t="s">
        <v>451</v>
      </c>
      <c r="I727" s="0" t="s">
        <v>1764</v>
      </c>
      <c r="J727" s="0" t="s">
        <v>652</v>
      </c>
    </row>
    <row r="728" customFormat="false" ht="15" hidden="false" customHeight="false" outlineLevel="0" collapsed="false">
      <c r="A728" s="0" t="s">
        <v>30</v>
      </c>
      <c r="B728" s="0" t="n">
        <v>6328</v>
      </c>
      <c r="C728" s="0" t="s">
        <v>1735</v>
      </c>
      <c r="D728" s="0" t="n">
        <v>50</v>
      </c>
      <c r="E728" s="0" t="n">
        <v>5940</v>
      </c>
      <c r="F728" s="0" t="s">
        <v>1763</v>
      </c>
      <c r="G728" s="0" t="s">
        <v>1710</v>
      </c>
      <c r="H728" s="0" t="s">
        <v>451</v>
      </c>
      <c r="I728" s="0" t="s">
        <v>1764</v>
      </c>
      <c r="J728" s="0" t="s">
        <v>652</v>
      </c>
    </row>
    <row r="729" customFormat="false" ht="15" hidden="false" customHeight="false" outlineLevel="0" collapsed="false">
      <c r="A729" s="0" t="s">
        <v>30</v>
      </c>
      <c r="B729" s="0" t="n">
        <v>5484</v>
      </c>
      <c r="C729" s="0" t="s">
        <v>1765</v>
      </c>
      <c r="D729" s="0" t="n">
        <v>35</v>
      </c>
      <c r="E729" s="0" t="n">
        <v>3081</v>
      </c>
      <c r="F729" s="0" t="s">
        <v>759</v>
      </c>
      <c r="G729" s="0" t="s">
        <v>1137</v>
      </c>
      <c r="H729" s="0" t="s">
        <v>451</v>
      </c>
      <c r="I729" s="0" t="s">
        <v>1555</v>
      </c>
      <c r="J729" s="0" t="s">
        <v>652</v>
      </c>
    </row>
    <row r="730" customFormat="false" ht="15" hidden="false" customHeight="false" outlineLevel="0" collapsed="false">
      <c r="A730" s="0" t="s">
        <v>30</v>
      </c>
      <c r="B730" s="0" t="n">
        <v>17200</v>
      </c>
      <c r="C730" s="0" t="s">
        <v>1721</v>
      </c>
      <c r="D730" s="0" t="n">
        <v>1</v>
      </c>
      <c r="E730" s="0" t="n">
        <v>13420</v>
      </c>
      <c r="F730" s="0" t="s">
        <v>1567</v>
      </c>
      <c r="G730" s="0" t="s">
        <v>1210</v>
      </c>
      <c r="H730" s="0" t="s">
        <v>730</v>
      </c>
      <c r="I730" s="0" t="s">
        <v>1568</v>
      </c>
      <c r="J730" s="0" t="s">
        <v>920</v>
      </c>
    </row>
    <row r="731" customFormat="false" ht="15" hidden="false" customHeight="false" outlineLevel="0" collapsed="false">
      <c r="A731" s="0" t="s">
        <v>30</v>
      </c>
      <c r="B731" s="0" t="n">
        <v>17201</v>
      </c>
      <c r="C731" s="0" t="s">
        <v>1722</v>
      </c>
      <c r="D731" s="0" t="n">
        <v>35</v>
      </c>
      <c r="E731" s="0" t="n">
        <v>13420</v>
      </c>
      <c r="F731" s="0" t="s">
        <v>1567</v>
      </c>
      <c r="G731" s="0" t="s">
        <v>1210</v>
      </c>
      <c r="H731" s="0" t="s">
        <v>730</v>
      </c>
      <c r="I731" s="0" t="s">
        <v>1568</v>
      </c>
      <c r="J731" s="0" t="s">
        <v>920</v>
      </c>
    </row>
    <row r="732" customFormat="false" ht="15" hidden="false" customHeight="false" outlineLevel="0" collapsed="false">
      <c r="A732" s="0" t="s">
        <v>30</v>
      </c>
      <c r="B732" s="0" t="n">
        <v>6369</v>
      </c>
      <c r="C732" s="0" t="s">
        <v>1703</v>
      </c>
      <c r="D732" s="0" t="n">
        <v>175</v>
      </c>
      <c r="E732" s="0" t="n">
        <v>3333</v>
      </c>
      <c r="F732" s="0" t="s">
        <v>1766</v>
      </c>
      <c r="G732" s="0" t="s">
        <v>1710</v>
      </c>
      <c r="H732" s="0" t="s">
        <v>730</v>
      </c>
      <c r="I732" s="0" t="s">
        <v>1767</v>
      </c>
      <c r="J732" s="0" t="s">
        <v>652</v>
      </c>
    </row>
    <row r="733" customFormat="false" ht="15" hidden="false" customHeight="false" outlineLevel="0" collapsed="false">
      <c r="A733" s="0" t="s">
        <v>30</v>
      </c>
      <c r="B733" s="0" t="n">
        <v>6368</v>
      </c>
      <c r="C733" s="0" t="s">
        <v>1713</v>
      </c>
      <c r="D733" s="0" t="n">
        <v>50</v>
      </c>
      <c r="E733" s="0" t="n">
        <v>3333</v>
      </c>
      <c r="F733" s="0" t="s">
        <v>1766</v>
      </c>
      <c r="G733" s="0" t="s">
        <v>1710</v>
      </c>
      <c r="H733" s="0" t="s">
        <v>730</v>
      </c>
      <c r="I733" s="0" t="s">
        <v>1767</v>
      </c>
      <c r="J733" s="0" t="s">
        <v>652</v>
      </c>
    </row>
    <row r="734" customFormat="false" ht="15" hidden="false" customHeight="false" outlineLevel="0" collapsed="false">
      <c r="A734" s="0" t="s">
        <v>30</v>
      </c>
      <c r="B734" s="0" t="n">
        <v>17062</v>
      </c>
      <c r="C734" s="0" t="s">
        <v>1707</v>
      </c>
      <c r="D734" s="0" t="n">
        <v>175</v>
      </c>
      <c r="E734" s="0" t="n">
        <v>3333</v>
      </c>
      <c r="F734" s="0" t="s">
        <v>1766</v>
      </c>
      <c r="G734" s="0" t="s">
        <v>1710</v>
      </c>
      <c r="H734" s="0" t="s">
        <v>730</v>
      </c>
      <c r="I734" s="0" t="s">
        <v>1767</v>
      </c>
      <c r="J734" s="0" t="s">
        <v>652</v>
      </c>
    </row>
    <row r="735" customFormat="false" ht="15" hidden="false" customHeight="false" outlineLevel="0" collapsed="false">
      <c r="A735" s="0" t="s">
        <v>30</v>
      </c>
      <c r="B735" s="0" t="n">
        <v>21219</v>
      </c>
      <c r="C735" s="0" t="s">
        <v>1714</v>
      </c>
      <c r="D735" s="0" t="n">
        <v>175</v>
      </c>
      <c r="E735" s="0" t="n">
        <v>3400</v>
      </c>
      <c r="F735" s="0" t="s">
        <v>729</v>
      </c>
      <c r="G735" s="0" t="s">
        <v>1193</v>
      </c>
      <c r="H735" s="0" t="s">
        <v>730</v>
      </c>
      <c r="I735" s="0" t="s">
        <v>1577</v>
      </c>
      <c r="J735" s="0" t="s">
        <v>652</v>
      </c>
    </row>
    <row r="736" customFormat="false" ht="15" hidden="false" customHeight="false" outlineLevel="0" collapsed="false">
      <c r="A736" s="0" t="s">
        <v>30</v>
      </c>
      <c r="B736" s="0" t="n">
        <v>21099</v>
      </c>
      <c r="C736" s="0" t="s">
        <v>1715</v>
      </c>
      <c r="D736" s="0" t="n">
        <v>80</v>
      </c>
      <c r="E736" s="0" t="n">
        <v>3400</v>
      </c>
      <c r="F736" s="0" t="s">
        <v>729</v>
      </c>
      <c r="G736" s="0" t="s">
        <v>1193</v>
      </c>
      <c r="H736" s="0" t="s">
        <v>730</v>
      </c>
      <c r="I736" s="0" t="s">
        <v>1577</v>
      </c>
      <c r="J736" s="0" t="s">
        <v>652</v>
      </c>
    </row>
    <row r="737" customFormat="false" ht="15" hidden="false" customHeight="false" outlineLevel="0" collapsed="false">
      <c r="A737" s="0" t="s">
        <v>30</v>
      </c>
      <c r="B737" s="0" t="n">
        <v>4609</v>
      </c>
      <c r="C737" s="0" t="s">
        <v>1075</v>
      </c>
      <c r="D737" s="0" t="n">
        <v>175</v>
      </c>
      <c r="E737" s="0" t="n">
        <v>12246</v>
      </c>
      <c r="F737" s="0" t="s">
        <v>1587</v>
      </c>
      <c r="H737" s="0" t="s">
        <v>1588</v>
      </c>
      <c r="J737" s="0" t="s">
        <v>920</v>
      </c>
    </row>
    <row r="738" customFormat="false" ht="15" hidden="false" customHeight="false" outlineLevel="0" collapsed="false">
      <c r="A738" s="0" t="s">
        <v>30</v>
      </c>
      <c r="B738" s="0" t="n">
        <v>12239</v>
      </c>
      <c r="C738" s="0" t="s">
        <v>1761</v>
      </c>
      <c r="D738" s="0" t="n">
        <v>200</v>
      </c>
      <c r="E738" s="0" t="n">
        <v>12246</v>
      </c>
      <c r="F738" s="0" t="s">
        <v>1587</v>
      </c>
      <c r="H738" s="0" t="s">
        <v>1588</v>
      </c>
      <c r="J738" s="0" t="s">
        <v>920</v>
      </c>
    </row>
    <row r="739" customFormat="false" ht="15" hidden="false" customHeight="false" outlineLevel="0" collapsed="false">
      <c r="A739" s="0" t="s">
        <v>30</v>
      </c>
      <c r="B739" s="0" t="n">
        <v>12229</v>
      </c>
      <c r="C739" s="0" t="s">
        <v>1738</v>
      </c>
      <c r="D739" s="0" t="n">
        <v>175</v>
      </c>
      <c r="E739" s="0" t="n">
        <v>12246</v>
      </c>
      <c r="F739" s="0" t="s">
        <v>1587</v>
      </c>
      <c r="H739" s="0" t="s">
        <v>1588</v>
      </c>
      <c r="J739" s="0" t="s">
        <v>920</v>
      </c>
    </row>
    <row r="740" customFormat="false" ht="15" hidden="false" customHeight="false" outlineLevel="0" collapsed="false">
      <c r="A740" s="0" t="s">
        <v>30</v>
      </c>
      <c r="B740" s="0" t="n">
        <v>12233</v>
      </c>
      <c r="C740" s="0" t="s">
        <v>1732</v>
      </c>
      <c r="D740" s="0" t="n">
        <v>175</v>
      </c>
      <c r="E740" s="0" t="n">
        <v>12246</v>
      </c>
      <c r="F740" s="0" t="s">
        <v>1587</v>
      </c>
      <c r="H740" s="0" t="s">
        <v>1588</v>
      </c>
      <c r="J740" s="0" t="s">
        <v>920</v>
      </c>
    </row>
    <row r="741" customFormat="false" ht="15" hidden="false" customHeight="false" outlineLevel="0" collapsed="false">
      <c r="A741" s="0" t="s">
        <v>30</v>
      </c>
      <c r="B741" s="0" t="n">
        <v>3734</v>
      </c>
      <c r="C741" s="0" t="s">
        <v>1027</v>
      </c>
      <c r="D741" s="0" t="n">
        <v>110</v>
      </c>
      <c r="E741" s="0" t="n">
        <v>12246</v>
      </c>
      <c r="F741" s="0" t="s">
        <v>1587</v>
      </c>
      <c r="H741" s="0" t="s">
        <v>1588</v>
      </c>
      <c r="J741" s="0" t="s">
        <v>920</v>
      </c>
    </row>
    <row r="742" customFormat="false" ht="15" hidden="false" customHeight="false" outlineLevel="0" collapsed="false">
      <c r="A742" s="0" t="s">
        <v>30</v>
      </c>
      <c r="B742" s="0" t="n">
        <v>12227</v>
      </c>
      <c r="C742" s="0" t="s">
        <v>1768</v>
      </c>
      <c r="D742" s="0" t="n">
        <v>125</v>
      </c>
      <c r="E742" s="0" t="n">
        <v>12246</v>
      </c>
      <c r="F742" s="0" t="s">
        <v>1587</v>
      </c>
      <c r="H742" s="0" t="s">
        <v>1588</v>
      </c>
      <c r="J742" s="0" t="s">
        <v>920</v>
      </c>
    </row>
    <row r="743" customFormat="false" ht="15" hidden="false" customHeight="false" outlineLevel="0" collapsed="false">
      <c r="A743" s="0" t="s">
        <v>30</v>
      </c>
      <c r="B743" s="0" t="n">
        <v>3735</v>
      </c>
      <c r="C743" s="0" t="s">
        <v>1048</v>
      </c>
      <c r="D743" s="0" t="n">
        <v>125</v>
      </c>
      <c r="E743" s="0" t="n">
        <v>12245</v>
      </c>
      <c r="F743" s="0" t="s">
        <v>1589</v>
      </c>
      <c r="H743" s="0" t="s">
        <v>1588</v>
      </c>
      <c r="J743" s="0" t="s">
        <v>920</v>
      </c>
    </row>
    <row r="744" customFormat="false" ht="15" hidden="false" customHeight="false" outlineLevel="0" collapsed="false">
      <c r="A744" s="0" t="s">
        <v>30</v>
      </c>
      <c r="B744" s="0" t="n">
        <v>12231</v>
      </c>
      <c r="C744" s="0" t="s">
        <v>1769</v>
      </c>
      <c r="D744" s="0" t="n">
        <v>175</v>
      </c>
      <c r="E744" s="0" t="n">
        <v>12245</v>
      </c>
      <c r="F744" s="0" t="s">
        <v>1589</v>
      </c>
      <c r="H744" s="0" t="s">
        <v>1588</v>
      </c>
      <c r="J744" s="0" t="s">
        <v>920</v>
      </c>
    </row>
    <row r="745" customFormat="false" ht="15" hidden="false" customHeight="false" outlineLevel="0" collapsed="false">
      <c r="A745" s="0" t="s">
        <v>30</v>
      </c>
      <c r="B745" s="0" t="n">
        <v>12240</v>
      </c>
      <c r="C745" s="0" t="s">
        <v>1733</v>
      </c>
      <c r="D745" s="0" t="n">
        <v>200</v>
      </c>
      <c r="E745" s="0" t="n">
        <v>12245</v>
      </c>
      <c r="F745" s="0" t="s">
        <v>1589</v>
      </c>
      <c r="H745" s="0" t="s">
        <v>1588</v>
      </c>
      <c r="J745" s="0" t="s">
        <v>920</v>
      </c>
    </row>
    <row r="746" customFormat="false" ht="15" hidden="false" customHeight="false" outlineLevel="0" collapsed="false">
      <c r="A746" s="0" t="s">
        <v>30</v>
      </c>
      <c r="B746" s="0" t="n">
        <v>12228</v>
      </c>
      <c r="C746" s="0" t="s">
        <v>1742</v>
      </c>
      <c r="D746" s="0" t="n">
        <v>175</v>
      </c>
      <c r="E746" s="0" t="n">
        <v>12245</v>
      </c>
      <c r="F746" s="0" t="s">
        <v>1589</v>
      </c>
      <c r="H746" s="0" t="s">
        <v>1588</v>
      </c>
      <c r="J746" s="0" t="s">
        <v>920</v>
      </c>
    </row>
    <row r="747" customFormat="false" ht="15" hidden="false" customHeight="false" outlineLevel="0" collapsed="false">
      <c r="A747" s="0" t="s">
        <v>30</v>
      </c>
      <c r="B747" s="0" t="n">
        <v>12232</v>
      </c>
      <c r="C747" s="0" t="s">
        <v>1734</v>
      </c>
      <c r="D747" s="0" t="n">
        <v>175</v>
      </c>
      <c r="E747" s="0" t="n">
        <v>12245</v>
      </c>
      <c r="F747" s="0" t="s">
        <v>1589</v>
      </c>
      <c r="H747" s="0" t="s">
        <v>1588</v>
      </c>
      <c r="J747" s="0" t="s">
        <v>920</v>
      </c>
    </row>
    <row r="748" customFormat="false" ht="15" hidden="false" customHeight="false" outlineLevel="0" collapsed="false">
      <c r="A748" s="0" t="s">
        <v>30</v>
      </c>
      <c r="B748" s="0" t="n">
        <v>5489</v>
      </c>
      <c r="C748" s="0" t="s">
        <v>1702</v>
      </c>
      <c r="D748" s="0" t="n">
        <v>110</v>
      </c>
      <c r="E748" s="0" t="n">
        <v>12245</v>
      </c>
      <c r="F748" s="0" t="s">
        <v>1589</v>
      </c>
      <c r="H748" s="0" t="s">
        <v>1588</v>
      </c>
      <c r="J748" s="0" t="s">
        <v>920</v>
      </c>
    </row>
    <row r="749" customFormat="false" ht="15" hidden="false" customHeight="false" outlineLevel="0" collapsed="false">
      <c r="A749" s="0" t="s">
        <v>30</v>
      </c>
      <c r="B749" s="0" t="n">
        <v>6369</v>
      </c>
      <c r="C749" s="0" t="s">
        <v>1703</v>
      </c>
      <c r="D749" s="0" t="n">
        <v>175</v>
      </c>
      <c r="E749" s="0" t="n">
        <v>4307</v>
      </c>
      <c r="F749" s="0" t="s">
        <v>1770</v>
      </c>
      <c r="G749" s="0" t="s">
        <v>1618</v>
      </c>
      <c r="H749" s="0" t="s">
        <v>977</v>
      </c>
      <c r="I749" s="0" t="s">
        <v>1771</v>
      </c>
      <c r="J749" s="0" t="s">
        <v>874</v>
      </c>
    </row>
    <row r="750" customFormat="false" ht="15" hidden="false" customHeight="false" outlineLevel="0" collapsed="false">
      <c r="A750" s="0" t="s">
        <v>30</v>
      </c>
      <c r="B750" s="0" t="n">
        <v>5528</v>
      </c>
      <c r="C750" s="0" t="s">
        <v>1760</v>
      </c>
      <c r="D750" s="0" t="n">
        <v>90</v>
      </c>
      <c r="E750" s="0" t="n">
        <v>4307</v>
      </c>
      <c r="F750" s="0" t="s">
        <v>1770</v>
      </c>
      <c r="G750" s="0" t="s">
        <v>1618</v>
      </c>
      <c r="H750" s="0" t="s">
        <v>977</v>
      </c>
      <c r="I750" s="0" t="s">
        <v>1771</v>
      </c>
      <c r="J750" s="0" t="s">
        <v>874</v>
      </c>
    </row>
    <row r="751" customFormat="false" ht="15" hidden="false" customHeight="false" outlineLevel="0" collapsed="false">
      <c r="A751" s="0" t="s">
        <v>30</v>
      </c>
      <c r="B751" s="0" t="n">
        <v>6368</v>
      </c>
      <c r="C751" s="0" t="s">
        <v>1713</v>
      </c>
      <c r="D751" s="0" t="n">
        <v>50</v>
      </c>
      <c r="E751" s="0" t="n">
        <v>4307</v>
      </c>
      <c r="F751" s="0" t="s">
        <v>1770</v>
      </c>
      <c r="G751" s="0" t="s">
        <v>1618</v>
      </c>
      <c r="H751" s="0" t="s">
        <v>977</v>
      </c>
      <c r="I751" s="0" t="s">
        <v>1771</v>
      </c>
      <c r="J751" s="0" t="s">
        <v>874</v>
      </c>
    </row>
    <row r="752" customFormat="false" ht="15" hidden="false" customHeight="false" outlineLevel="0" collapsed="false">
      <c r="A752" s="0" t="s">
        <v>30</v>
      </c>
      <c r="B752" s="0" t="n">
        <v>17062</v>
      </c>
      <c r="C752" s="0" t="s">
        <v>1707</v>
      </c>
      <c r="D752" s="0" t="n">
        <v>175</v>
      </c>
      <c r="E752" s="0" t="n">
        <v>4307</v>
      </c>
      <c r="F752" s="0" t="s">
        <v>1770</v>
      </c>
      <c r="G752" s="0" t="s">
        <v>1618</v>
      </c>
      <c r="H752" s="0" t="s">
        <v>977</v>
      </c>
      <c r="I752" s="0" t="s">
        <v>1771</v>
      </c>
      <c r="J752" s="0" t="s">
        <v>874</v>
      </c>
    </row>
    <row r="753" customFormat="false" ht="15" hidden="false" customHeight="false" outlineLevel="0" collapsed="false">
      <c r="A753" s="0" t="s">
        <v>30</v>
      </c>
      <c r="B753" s="0" t="n">
        <v>5485</v>
      </c>
      <c r="C753" s="0" t="s">
        <v>1772</v>
      </c>
      <c r="D753" s="0" t="n">
        <v>50</v>
      </c>
      <c r="E753" s="0" t="n">
        <v>4200</v>
      </c>
      <c r="F753" s="0" t="s">
        <v>1773</v>
      </c>
      <c r="G753" s="0" t="s">
        <v>1352</v>
      </c>
      <c r="H753" s="0" t="s">
        <v>977</v>
      </c>
      <c r="I753" s="0" t="s">
        <v>1774</v>
      </c>
      <c r="J753" s="0" t="s">
        <v>874</v>
      </c>
    </row>
    <row r="754" customFormat="false" ht="15" hidden="false" customHeight="false" outlineLevel="0" collapsed="false">
      <c r="A754" s="0" t="s">
        <v>30</v>
      </c>
      <c r="B754" s="0" t="n">
        <v>18046</v>
      </c>
      <c r="C754" s="0" t="s">
        <v>1747</v>
      </c>
      <c r="D754" s="0" t="n">
        <v>225</v>
      </c>
      <c r="E754" s="0" t="n">
        <v>7733</v>
      </c>
      <c r="F754" s="0" t="s">
        <v>1615</v>
      </c>
      <c r="G754" s="0" t="s">
        <v>1134</v>
      </c>
      <c r="H754" s="0" t="s">
        <v>419</v>
      </c>
      <c r="I754" s="0" t="s">
        <v>1616</v>
      </c>
      <c r="J754" s="0" t="s">
        <v>920</v>
      </c>
    </row>
    <row r="755" customFormat="false" ht="15" hidden="false" customHeight="false" outlineLevel="0" collapsed="false">
      <c r="A755" s="0" t="s">
        <v>30</v>
      </c>
      <c r="B755" s="0" t="n">
        <v>18046</v>
      </c>
      <c r="C755" s="0" t="s">
        <v>1747</v>
      </c>
      <c r="D755" s="0" t="n">
        <v>225</v>
      </c>
      <c r="E755" s="0" t="n">
        <v>8125</v>
      </c>
      <c r="F755" s="0" t="s">
        <v>1088</v>
      </c>
      <c r="G755" s="0" t="s">
        <v>1277</v>
      </c>
      <c r="H755" s="0" t="s">
        <v>419</v>
      </c>
      <c r="I755" s="0" t="s">
        <v>1089</v>
      </c>
      <c r="J755" s="0" t="s">
        <v>920</v>
      </c>
    </row>
    <row r="756" customFormat="false" ht="15" hidden="false" customHeight="false" outlineLevel="0" collapsed="false">
      <c r="A756" s="0" t="s">
        <v>30</v>
      </c>
      <c r="B756" s="0" t="n">
        <v>13942</v>
      </c>
      <c r="C756" s="0" t="s">
        <v>1775</v>
      </c>
      <c r="D756" s="0" t="n">
        <v>240</v>
      </c>
      <c r="E756" s="0" t="n">
        <v>8137</v>
      </c>
      <c r="F756" s="0" t="s">
        <v>1617</v>
      </c>
      <c r="G756" s="0" t="s">
        <v>1618</v>
      </c>
      <c r="H756" s="0" t="s">
        <v>419</v>
      </c>
      <c r="I756" s="0" t="s">
        <v>1619</v>
      </c>
      <c r="J756" s="0" t="s">
        <v>920</v>
      </c>
    </row>
    <row r="757" customFormat="false" ht="15" hidden="false" customHeight="false" outlineLevel="0" collapsed="false">
      <c r="A757" s="0" t="s">
        <v>30</v>
      </c>
      <c r="B757" s="0" t="n">
        <v>13939</v>
      </c>
      <c r="C757" s="0" t="s">
        <v>1776</v>
      </c>
      <c r="D757" s="0" t="n">
        <v>225</v>
      </c>
      <c r="E757" s="0" t="n">
        <v>8137</v>
      </c>
      <c r="F757" s="0" t="s">
        <v>1617</v>
      </c>
      <c r="G757" s="0" t="s">
        <v>1618</v>
      </c>
      <c r="H757" s="0" t="s">
        <v>419</v>
      </c>
      <c r="I757" s="0" t="s">
        <v>1619</v>
      </c>
      <c r="J757" s="0" t="s">
        <v>920</v>
      </c>
    </row>
    <row r="758" customFormat="false" ht="15" hidden="false" customHeight="false" outlineLevel="0" collapsed="false">
      <c r="A758" s="0" t="s">
        <v>30</v>
      </c>
      <c r="B758" s="0" t="n">
        <v>13946</v>
      </c>
      <c r="C758" s="0" t="s">
        <v>1777</v>
      </c>
      <c r="D758" s="0" t="n">
        <v>250</v>
      </c>
      <c r="E758" s="0" t="n">
        <v>8137</v>
      </c>
      <c r="F758" s="0" t="s">
        <v>1617</v>
      </c>
      <c r="G758" s="0" t="s">
        <v>1618</v>
      </c>
      <c r="H758" s="0" t="s">
        <v>419</v>
      </c>
      <c r="I758" s="0" t="s">
        <v>1619</v>
      </c>
      <c r="J758" s="0" t="s">
        <v>920</v>
      </c>
    </row>
    <row r="759" customFormat="false" ht="15" hidden="false" customHeight="false" outlineLevel="0" collapsed="false">
      <c r="A759" s="0" t="s">
        <v>30</v>
      </c>
      <c r="B759" s="0" t="n">
        <v>13945</v>
      </c>
      <c r="C759" s="0" t="s">
        <v>1778</v>
      </c>
      <c r="D759" s="0" t="n">
        <v>250</v>
      </c>
      <c r="E759" s="0" t="n">
        <v>8137</v>
      </c>
      <c r="F759" s="0" t="s">
        <v>1617</v>
      </c>
      <c r="G759" s="0" t="s">
        <v>1618</v>
      </c>
      <c r="H759" s="0" t="s">
        <v>419</v>
      </c>
      <c r="I759" s="0" t="s">
        <v>1619</v>
      </c>
      <c r="J759" s="0" t="s">
        <v>920</v>
      </c>
    </row>
    <row r="760" customFormat="false" ht="15" hidden="false" customHeight="false" outlineLevel="0" collapsed="false">
      <c r="A760" s="0" t="s">
        <v>30</v>
      </c>
      <c r="B760" s="0" t="n">
        <v>16767</v>
      </c>
      <c r="C760" s="0" t="s">
        <v>1779</v>
      </c>
      <c r="D760" s="0" t="n">
        <v>225</v>
      </c>
      <c r="E760" s="0" t="n">
        <v>8139</v>
      </c>
      <c r="F760" s="0" t="s">
        <v>1620</v>
      </c>
      <c r="G760" s="0" t="s">
        <v>1140</v>
      </c>
      <c r="H760" s="0" t="s">
        <v>419</v>
      </c>
      <c r="I760" s="0" t="s">
        <v>1621</v>
      </c>
      <c r="J760" s="0" t="s">
        <v>920</v>
      </c>
    </row>
    <row r="761" customFormat="false" ht="15" hidden="false" customHeight="false" outlineLevel="0" collapsed="false">
      <c r="A761" s="0" t="s">
        <v>30</v>
      </c>
      <c r="B761" s="0" t="n">
        <v>6326</v>
      </c>
      <c r="C761" s="0" t="s">
        <v>575</v>
      </c>
      <c r="D761" s="0" t="n">
        <v>1</v>
      </c>
      <c r="E761" s="0" t="n">
        <v>10118</v>
      </c>
      <c r="F761" s="0" t="s">
        <v>1780</v>
      </c>
      <c r="G761" s="0" t="s">
        <v>1710</v>
      </c>
      <c r="H761" s="0" t="s">
        <v>468</v>
      </c>
      <c r="I761" s="0" t="s">
        <v>1781</v>
      </c>
      <c r="J761" s="0" t="s">
        <v>874</v>
      </c>
    </row>
    <row r="762" customFormat="false" ht="15" hidden="false" customHeight="false" outlineLevel="0" collapsed="false">
      <c r="A762" s="0" t="s">
        <v>30</v>
      </c>
      <c r="B762" s="0" t="n">
        <v>6368</v>
      </c>
      <c r="C762" s="0" t="s">
        <v>1713</v>
      </c>
      <c r="D762" s="0" t="n">
        <v>50</v>
      </c>
      <c r="E762" s="0" t="n">
        <v>10118</v>
      </c>
      <c r="F762" s="0" t="s">
        <v>1780</v>
      </c>
      <c r="G762" s="0" t="s">
        <v>1710</v>
      </c>
      <c r="H762" s="0" t="s">
        <v>468</v>
      </c>
      <c r="I762" s="0" t="s">
        <v>1781</v>
      </c>
      <c r="J762" s="0" t="s">
        <v>874</v>
      </c>
    </row>
    <row r="763" customFormat="false" ht="15" hidden="false" customHeight="false" outlineLevel="0" collapsed="false">
      <c r="A763" s="0" t="s">
        <v>30</v>
      </c>
      <c r="B763" s="0" t="n">
        <v>21219</v>
      </c>
      <c r="C763" s="0" t="s">
        <v>1714</v>
      </c>
      <c r="D763" s="0" t="n">
        <v>175</v>
      </c>
      <c r="E763" s="0" t="n">
        <v>4265</v>
      </c>
      <c r="F763" s="0" t="s">
        <v>1634</v>
      </c>
      <c r="G763" s="0" t="s">
        <v>1193</v>
      </c>
      <c r="H763" s="0" t="s">
        <v>468</v>
      </c>
      <c r="I763" s="0" t="s">
        <v>1635</v>
      </c>
      <c r="J763" s="0" t="s">
        <v>874</v>
      </c>
    </row>
    <row r="764" customFormat="false" ht="15" hidden="false" customHeight="false" outlineLevel="0" collapsed="false">
      <c r="A764" s="0" t="s">
        <v>30</v>
      </c>
      <c r="B764" s="0" t="n">
        <v>6325</v>
      </c>
      <c r="C764" s="0" t="s">
        <v>574</v>
      </c>
      <c r="D764" s="0" t="n">
        <v>1</v>
      </c>
      <c r="E764" s="0" t="n">
        <v>4265</v>
      </c>
      <c r="F764" s="0" t="s">
        <v>1634</v>
      </c>
      <c r="G764" s="0" t="s">
        <v>1193</v>
      </c>
      <c r="H764" s="0" t="s">
        <v>468</v>
      </c>
      <c r="I764" s="0" t="s">
        <v>1635</v>
      </c>
      <c r="J764" s="0" t="s">
        <v>874</v>
      </c>
    </row>
    <row r="765" customFormat="false" ht="15" hidden="false" customHeight="false" outlineLevel="0" collapsed="false">
      <c r="A765" s="0" t="s">
        <v>30</v>
      </c>
      <c r="B765" s="0" t="n">
        <v>6328</v>
      </c>
      <c r="C765" s="0" t="s">
        <v>1735</v>
      </c>
      <c r="D765" s="0" t="n">
        <v>50</v>
      </c>
      <c r="E765" s="0" t="n">
        <v>4265</v>
      </c>
      <c r="F765" s="0" t="s">
        <v>1634</v>
      </c>
      <c r="G765" s="0" t="s">
        <v>1193</v>
      </c>
      <c r="H765" s="0" t="s">
        <v>468</v>
      </c>
      <c r="I765" s="0" t="s">
        <v>1635</v>
      </c>
      <c r="J765" s="0" t="s">
        <v>874</v>
      </c>
    </row>
    <row r="766" customFormat="false" ht="15" hidden="false" customHeight="false" outlineLevel="0" collapsed="false">
      <c r="A766" s="0" t="s">
        <v>30</v>
      </c>
      <c r="B766" s="0" t="n">
        <v>21099</v>
      </c>
      <c r="C766" s="0" t="s">
        <v>1715</v>
      </c>
      <c r="D766" s="0" t="n">
        <v>80</v>
      </c>
      <c r="E766" s="0" t="n">
        <v>4265</v>
      </c>
      <c r="F766" s="0" t="s">
        <v>1634</v>
      </c>
      <c r="G766" s="0" t="s">
        <v>1193</v>
      </c>
      <c r="H766" s="0" t="s">
        <v>468</v>
      </c>
      <c r="I766" s="0" t="s">
        <v>1635</v>
      </c>
      <c r="J766" s="0" t="s">
        <v>874</v>
      </c>
    </row>
    <row r="767" customFormat="false" ht="15" hidden="false" customHeight="false" outlineLevel="0" collapsed="false">
      <c r="A767" s="0" t="s">
        <v>30</v>
      </c>
      <c r="B767" s="0" t="n">
        <v>21219</v>
      </c>
      <c r="C767" s="0" t="s">
        <v>1714</v>
      </c>
      <c r="D767" s="0" t="n">
        <v>175</v>
      </c>
      <c r="E767" s="0" t="n">
        <v>3027</v>
      </c>
      <c r="F767" s="0" t="s">
        <v>1645</v>
      </c>
      <c r="G767" s="0" t="s">
        <v>1193</v>
      </c>
      <c r="H767" s="0" t="s">
        <v>899</v>
      </c>
      <c r="I767" s="0" t="s">
        <v>1646</v>
      </c>
      <c r="J767" s="0" t="s">
        <v>652</v>
      </c>
    </row>
    <row r="768" customFormat="false" ht="15" hidden="false" customHeight="false" outlineLevel="0" collapsed="false">
      <c r="A768" s="0" t="s">
        <v>30</v>
      </c>
      <c r="B768" s="0" t="n">
        <v>6328</v>
      </c>
      <c r="C768" s="0" t="s">
        <v>1735</v>
      </c>
      <c r="D768" s="0" t="n">
        <v>50</v>
      </c>
      <c r="E768" s="0" t="n">
        <v>3027</v>
      </c>
      <c r="F768" s="0" t="s">
        <v>1645</v>
      </c>
      <c r="G768" s="0" t="s">
        <v>1193</v>
      </c>
      <c r="H768" s="0" t="s">
        <v>899</v>
      </c>
      <c r="I768" s="0" t="s">
        <v>1646</v>
      </c>
      <c r="J768" s="0" t="s">
        <v>652</v>
      </c>
    </row>
    <row r="769" customFormat="false" ht="15" hidden="false" customHeight="false" outlineLevel="0" collapsed="false">
      <c r="A769" s="0" t="s">
        <v>30</v>
      </c>
      <c r="B769" s="0" t="n">
        <v>6330</v>
      </c>
      <c r="C769" s="0" t="s">
        <v>1712</v>
      </c>
      <c r="D769" s="0" t="n">
        <v>100</v>
      </c>
      <c r="E769" s="0" t="n">
        <v>3027</v>
      </c>
      <c r="F769" s="0" t="s">
        <v>1645</v>
      </c>
      <c r="G769" s="0" t="s">
        <v>1193</v>
      </c>
      <c r="H769" s="0" t="s">
        <v>899</v>
      </c>
      <c r="I769" s="0" t="s">
        <v>1646</v>
      </c>
      <c r="J769" s="0" t="s">
        <v>652</v>
      </c>
    </row>
    <row r="770" customFormat="false" ht="15" hidden="false" customHeight="false" outlineLevel="0" collapsed="false">
      <c r="A770" s="0" t="s">
        <v>30</v>
      </c>
      <c r="B770" s="0" t="n">
        <v>21099</v>
      </c>
      <c r="C770" s="0" t="s">
        <v>1715</v>
      </c>
      <c r="D770" s="0" t="n">
        <v>80</v>
      </c>
      <c r="E770" s="0" t="n">
        <v>3027</v>
      </c>
      <c r="F770" s="0" t="s">
        <v>1645</v>
      </c>
      <c r="G770" s="0" t="s">
        <v>1193</v>
      </c>
      <c r="H770" s="0" t="s">
        <v>899</v>
      </c>
      <c r="I770" s="0" t="s">
        <v>1646</v>
      </c>
      <c r="J770" s="0" t="s">
        <v>652</v>
      </c>
    </row>
    <row r="771" customFormat="false" ht="15" hidden="false" customHeight="false" outlineLevel="0" collapsed="false">
      <c r="A771" s="0" t="s">
        <v>30</v>
      </c>
      <c r="B771" s="0" t="n">
        <v>17200</v>
      </c>
      <c r="C771" s="0" t="s">
        <v>1721</v>
      </c>
      <c r="D771" s="0" t="n">
        <v>1</v>
      </c>
      <c r="E771" s="0" t="n">
        <v>13432</v>
      </c>
      <c r="F771" s="0" t="s">
        <v>1653</v>
      </c>
      <c r="G771" s="0" t="s">
        <v>1210</v>
      </c>
      <c r="H771" s="0" t="s">
        <v>899</v>
      </c>
      <c r="I771" s="0" t="s">
        <v>1654</v>
      </c>
      <c r="J771" s="0" t="s">
        <v>920</v>
      </c>
    </row>
    <row r="772" customFormat="false" ht="15" hidden="false" customHeight="false" outlineLevel="0" collapsed="false">
      <c r="A772" s="0" t="s">
        <v>30</v>
      </c>
      <c r="B772" s="0" t="n">
        <v>17201</v>
      </c>
      <c r="C772" s="0" t="s">
        <v>1722</v>
      </c>
      <c r="D772" s="0" t="n">
        <v>35</v>
      </c>
      <c r="E772" s="0" t="n">
        <v>13432</v>
      </c>
      <c r="F772" s="0" t="s">
        <v>1653</v>
      </c>
      <c r="G772" s="0" t="s">
        <v>1210</v>
      </c>
      <c r="H772" s="0" t="s">
        <v>899</v>
      </c>
      <c r="I772" s="0" t="s">
        <v>1654</v>
      </c>
      <c r="J772" s="0" t="s">
        <v>920</v>
      </c>
    </row>
    <row r="773" customFormat="false" ht="15" hidden="false" customHeight="false" outlineLevel="0" collapsed="false">
      <c r="A773" s="0" t="s">
        <v>30</v>
      </c>
      <c r="B773" s="0" t="n">
        <v>6325</v>
      </c>
      <c r="C773" s="0" t="s">
        <v>574</v>
      </c>
      <c r="D773" s="0" t="n">
        <v>1</v>
      </c>
      <c r="E773" s="0" t="n">
        <v>3029</v>
      </c>
      <c r="F773" s="0" t="s">
        <v>1782</v>
      </c>
      <c r="G773" s="0" t="s">
        <v>1710</v>
      </c>
      <c r="H773" s="0" t="s">
        <v>899</v>
      </c>
      <c r="I773" s="0" t="s">
        <v>1783</v>
      </c>
      <c r="J773" s="0" t="s">
        <v>652</v>
      </c>
    </row>
    <row r="774" customFormat="false" ht="15" hidden="false" customHeight="false" outlineLevel="0" collapsed="false">
      <c r="A774" s="0" t="s">
        <v>30</v>
      </c>
      <c r="B774" s="0" t="n">
        <v>6330</v>
      </c>
      <c r="C774" s="0" t="s">
        <v>1712</v>
      </c>
      <c r="D774" s="0" t="n">
        <v>100</v>
      </c>
      <c r="E774" s="0" t="n">
        <v>3029</v>
      </c>
      <c r="F774" s="0" t="s">
        <v>1782</v>
      </c>
      <c r="G774" s="0" t="s">
        <v>1710</v>
      </c>
      <c r="H774" s="0" t="s">
        <v>899</v>
      </c>
      <c r="I774" s="0" t="s">
        <v>1783</v>
      </c>
      <c r="J774" s="0" t="s">
        <v>652</v>
      </c>
    </row>
    <row r="775" customFormat="false" ht="15" hidden="false" customHeight="false" outlineLevel="0" collapsed="false">
      <c r="A775" s="0" t="s">
        <v>30</v>
      </c>
      <c r="B775" s="0" t="n">
        <v>6325</v>
      </c>
      <c r="C775" s="0" t="s">
        <v>574</v>
      </c>
      <c r="D775" s="0" t="n">
        <v>1</v>
      </c>
      <c r="E775" s="0" t="n">
        <v>4574</v>
      </c>
      <c r="F775" s="0" t="s">
        <v>1784</v>
      </c>
      <c r="G775" s="0" t="s">
        <v>1710</v>
      </c>
      <c r="H775" s="0" t="s">
        <v>531</v>
      </c>
      <c r="I775" s="0" t="s">
        <v>1785</v>
      </c>
      <c r="J775" s="0" t="s">
        <v>652</v>
      </c>
    </row>
    <row r="776" customFormat="false" ht="15" hidden="false" customHeight="false" outlineLevel="0" collapsed="false">
      <c r="A776" s="0" t="s">
        <v>30</v>
      </c>
      <c r="B776" s="0" t="n">
        <v>6328</v>
      </c>
      <c r="C776" s="0" t="s">
        <v>1735</v>
      </c>
      <c r="D776" s="0" t="n">
        <v>50</v>
      </c>
      <c r="E776" s="0" t="n">
        <v>4574</v>
      </c>
      <c r="F776" s="0" t="s">
        <v>1784</v>
      </c>
      <c r="G776" s="0" t="s">
        <v>1710</v>
      </c>
      <c r="H776" s="0" t="s">
        <v>531</v>
      </c>
      <c r="I776" s="0" t="s">
        <v>1785</v>
      </c>
      <c r="J776" s="0" t="s">
        <v>652</v>
      </c>
    </row>
    <row r="777" customFormat="false" ht="15" hidden="false" customHeight="false" outlineLevel="0" collapsed="false">
      <c r="A777" s="0" t="s">
        <v>30</v>
      </c>
      <c r="B777" s="0" t="n">
        <v>6369</v>
      </c>
      <c r="C777" s="0" t="s">
        <v>1703</v>
      </c>
      <c r="D777" s="0" t="n">
        <v>175</v>
      </c>
      <c r="E777" s="0" t="n">
        <v>4574</v>
      </c>
      <c r="F777" s="0" t="s">
        <v>1784</v>
      </c>
      <c r="G777" s="0" t="s">
        <v>1710</v>
      </c>
      <c r="H777" s="0" t="s">
        <v>531</v>
      </c>
      <c r="I777" s="0" t="s">
        <v>1785</v>
      </c>
      <c r="J777" s="0" t="s">
        <v>652</v>
      </c>
    </row>
    <row r="778" customFormat="false" ht="15" hidden="false" customHeight="false" outlineLevel="0" collapsed="false">
      <c r="A778" s="0" t="s">
        <v>30</v>
      </c>
      <c r="B778" s="0" t="n">
        <v>17062</v>
      </c>
      <c r="C778" s="0" t="s">
        <v>1707</v>
      </c>
      <c r="D778" s="0" t="n">
        <v>175</v>
      </c>
      <c r="E778" s="0" t="n">
        <v>4574</v>
      </c>
      <c r="F778" s="0" t="s">
        <v>1784</v>
      </c>
      <c r="G778" s="0" t="s">
        <v>1710</v>
      </c>
      <c r="H778" s="0" t="s">
        <v>531</v>
      </c>
      <c r="I778" s="0" t="s">
        <v>1785</v>
      </c>
      <c r="J778" s="0" t="s">
        <v>652</v>
      </c>
    </row>
    <row r="779" customFormat="false" ht="15" hidden="false" customHeight="false" outlineLevel="0" collapsed="false">
      <c r="A779" s="0" t="s">
        <v>30</v>
      </c>
      <c r="B779" s="0" t="n">
        <v>17200</v>
      </c>
      <c r="C779" s="0" t="s">
        <v>1721</v>
      </c>
      <c r="D779" s="0" t="n">
        <v>1</v>
      </c>
      <c r="E779" s="0" t="n">
        <v>13429</v>
      </c>
      <c r="F779" s="0" t="s">
        <v>1663</v>
      </c>
      <c r="G779" s="0" t="s">
        <v>1210</v>
      </c>
      <c r="H779" s="0" t="s">
        <v>531</v>
      </c>
      <c r="I779" s="0" t="s">
        <v>1664</v>
      </c>
      <c r="J779" s="0" t="s">
        <v>920</v>
      </c>
    </row>
    <row r="780" customFormat="false" ht="15" hidden="false" customHeight="false" outlineLevel="0" collapsed="false">
      <c r="A780" s="0" t="s">
        <v>30</v>
      </c>
      <c r="B780" s="0" t="n">
        <v>17201</v>
      </c>
      <c r="C780" s="0" t="s">
        <v>1722</v>
      </c>
      <c r="D780" s="0" t="n">
        <v>35</v>
      </c>
      <c r="E780" s="0" t="n">
        <v>13429</v>
      </c>
      <c r="F780" s="0" t="s">
        <v>1663</v>
      </c>
      <c r="G780" s="0" t="s">
        <v>1210</v>
      </c>
      <c r="H780" s="0" t="s">
        <v>531</v>
      </c>
      <c r="I780" s="0" t="s">
        <v>1664</v>
      </c>
      <c r="J780" s="0" t="s">
        <v>920</v>
      </c>
    </row>
    <row r="781" customFormat="false" ht="15" hidden="false" customHeight="false" outlineLevel="0" collapsed="false">
      <c r="A781" s="0" t="s">
        <v>30</v>
      </c>
      <c r="B781" s="0" t="n">
        <v>21219</v>
      </c>
      <c r="C781" s="0" t="s">
        <v>1714</v>
      </c>
      <c r="D781" s="0" t="n">
        <v>175</v>
      </c>
      <c r="E781" s="0" t="n">
        <v>4553</v>
      </c>
      <c r="F781" s="0" t="s">
        <v>691</v>
      </c>
      <c r="G781" s="0" t="s">
        <v>1193</v>
      </c>
      <c r="H781" s="0" t="s">
        <v>531</v>
      </c>
      <c r="I781" s="0" t="s">
        <v>1666</v>
      </c>
      <c r="J781" s="0" t="s">
        <v>652</v>
      </c>
    </row>
    <row r="782" customFormat="false" ht="15" hidden="false" customHeight="false" outlineLevel="0" collapsed="false">
      <c r="A782" s="0" t="s">
        <v>30</v>
      </c>
      <c r="B782" s="0" t="n">
        <v>6330</v>
      </c>
      <c r="C782" s="0" t="s">
        <v>1712</v>
      </c>
      <c r="D782" s="0" t="n">
        <v>100</v>
      </c>
      <c r="E782" s="0" t="n">
        <v>4553</v>
      </c>
      <c r="F782" s="0" t="s">
        <v>691</v>
      </c>
      <c r="G782" s="0" t="s">
        <v>1193</v>
      </c>
      <c r="H782" s="0" t="s">
        <v>531</v>
      </c>
      <c r="I782" s="0" t="s">
        <v>1666</v>
      </c>
      <c r="J782" s="0" t="s">
        <v>652</v>
      </c>
    </row>
    <row r="783" customFormat="false" ht="15" hidden="false" customHeight="false" outlineLevel="0" collapsed="false">
      <c r="A783" s="0" t="s">
        <v>30</v>
      </c>
      <c r="B783" s="0" t="n">
        <v>21099</v>
      </c>
      <c r="C783" s="0" t="s">
        <v>1715</v>
      </c>
      <c r="D783" s="0" t="n">
        <v>80</v>
      </c>
      <c r="E783" s="0" t="n">
        <v>4553</v>
      </c>
      <c r="F783" s="0" t="s">
        <v>691</v>
      </c>
      <c r="G783" s="0" t="s">
        <v>1193</v>
      </c>
      <c r="H783" s="0" t="s">
        <v>531</v>
      </c>
      <c r="I783" s="0" t="s">
        <v>1666</v>
      </c>
      <c r="J783" s="0" t="s">
        <v>652</v>
      </c>
    </row>
    <row r="784" customFormat="false" ht="15" hidden="false" customHeight="false" outlineLevel="0" collapsed="false">
      <c r="A784" s="0" t="s">
        <v>30</v>
      </c>
      <c r="B784" s="0" t="n">
        <v>6368</v>
      </c>
      <c r="C784" s="0" t="s">
        <v>1713</v>
      </c>
      <c r="D784" s="0" t="n">
        <v>50</v>
      </c>
      <c r="E784" s="0" t="n">
        <v>4553</v>
      </c>
      <c r="F784" s="0" t="s">
        <v>691</v>
      </c>
      <c r="G784" s="0" t="s">
        <v>1193</v>
      </c>
      <c r="H784" s="0" t="s">
        <v>531</v>
      </c>
      <c r="I784" s="0" t="s">
        <v>1666</v>
      </c>
      <c r="J784" s="0" t="s">
        <v>652</v>
      </c>
    </row>
    <row r="785" customFormat="false" ht="15" hidden="false" customHeight="false" outlineLevel="0" collapsed="false">
      <c r="A785" s="0" t="s">
        <v>30</v>
      </c>
      <c r="B785" s="0" t="n">
        <v>12231</v>
      </c>
      <c r="C785" s="0" t="s">
        <v>1769</v>
      </c>
      <c r="D785" s="0" t="n">
        <v>175</v>
      </c>
      <c r="E785" s="0" t="n">
        <v>734</v>
      </c>
      <c r="F785" s="0" t="s">
        <v>1685</v>
      </c>
      <c r="G785" s="0" t="s">
        <v>1686</v>
      </c>
      <c r="H785" s="0" t="s">
        <v>581</v>
      </c>
      <c r="I785" s="0" t="s">
        <v>1687</v>
      </c>
      <c r="J785" s="0" t="s">
        <v>874</v>
      </c>
    </row>
    <row r="786" customFormat="false" ht="15" hidden="false" customHeight="false" outlineLevel="0" collapsed="false">
      <c r="A786" s="0" t="s">
        <v>30</v>
      </c>
      <c r="B786" s="0" t="n">
        <v>12228</v>
      </c>
      <c r="C786" s="0" t="s">
        <v>1742</v>
      </c>
      <c r="D786" s="0" t="n">
        <v>175</v>
      </c>
      <c r="E786" s="0" t="n">
        <v>734</v>
      </c>
      <c r="F786" s="0" t="s">
        <v>1685</v>
      </c>
      <c r="G786" s="0" t="s">
        <v>1686</v>
      </c>
      <c r="H786" s="0" t="s">
        <v>581</v>
      </c>
      <c r="I786" s="0" t="s">
        <v>1687</v>
      </c>
      <c r="J786" s="0" t="s">
        <v>874</v>
      </c>
    </row>
    <row r="787" customFormat="false" ht="15" hidden="false" customHeight="false" outlineLevel="0" collapsed="false">
      <c r="A787" s="0" t="s">
        <v>30</v>
      </c>
      <c r="B787" s="0" t="n">
        <v>6039</v>
      </c>
      <c r="C787" s="0" t="s">
        <v>1786</v>
      </c>
      <c r="D787" s="0" t="n">
        <v>175</v>
      </c>
      <c r="E787" s="0" t="n">
        <v>2664</v>
      </c>
      <c r="F787" s="0" t="s">
        <v>580</v>
      </c>
      <c r="G787" s="0" t="s">
        <v>883</v>
      </c>
      <c r="H787" s="0" t="s">
        <v>581</v>
      </c>
      <c r="I787" s="0" t="s">
        <v>1688</v>
      </c>
      <c r="J787" s="0" t="s">
        <v>920</v>
      </c>
    </row>
    <row r="788" customFormat="false" ht="15" hidden="false" customHeight="false" outlineLevel="0" collapsed="false">
      <c r="A788" s="0" t="s">
        <v>30</v>
      </c>
      <c r="B788" s="0" t="n">
        <v>13940</v>
      </c>
      <c r="C788" s="0" t="s">
        <v>582</v>
      </c>
      <c r="D788" s="0" t="n">
        <v>225</v>
      </c>
      <c r="E788" s="0" t="n">
        <v>2664</v>
      </c>
      <c r="F788" s="0" t="s">
        <v>580</v>
      </c>
      <c r="G788" s="0" t="s">
        <v>883</v>
      </c>
      <c r="H788" s="0" t="s">
        <v>581</v>
      </c>
      <c r="I788" s="0" t="s">
        <v>1688</v>
      </c>
      <c r="J788" s="0" t="s">
        <v>920</v>
      </c>
    </row>
    <row r="789" customFormat="false" ht="15" hidden="false" customHeight="false" outlineLevel="0" collapsed="false">
      <c r="A789" s="0" t="s">
        <v>30</v>
      </c>
      <c r="B789" s="0" t="n">
        <v>21219</v>
      </c>
      <c r="C789" s="0" t="s">
        <v>1714</v>
      </c>
      <c r="D789" s="0" t="n">
        <v>175</v>
      </c>
      <c r="E789" s="0" t="n">
        <v>2664</v>
      </c>
      <c r="F789" s="0" t="s">
        <v>580</v>
      </c>
      <c r="G789" s="0" t="s">
        <v>883</v>
      </c>
      <c r="H789" s="0" t="s">
        <v>581</v>
      </c>
      <c r="I789" s="0" t="s">
        <v>1688</v>
      </c>
      <c r="J789" s="0" t="s">
        <v>920</v>
      </c>
    </row>
    <row r="790" customFormat="false" ht="15" hidden="false" customHeight="false" outlineLevel="0" collapsed="false">
      <c r="A790" s="0" t="s">
        <v>30</v>
      </c>
      <c r="B790" s="0" t="n">
        <v>13941</v>
      </c>
      <c r="C790" s="0" t="s">
        <v>1787</v>
      </c>
      <c r="D790" s="0" t="n">
        <v>225</v>
      </c>
      <c r="E790" s="0" t="n">
        <v>2664</v>
      </c>
      <c r="F790" s="0" t="s">
        <v>580</v>
      </c>
      <c r="G790" s="0" t="s">
        <v>883</v>
      </c>
      <c r="H790" s="0" t="s">
        <v>581</v>
      </c>
      <c r="I790" s="0" t="s">
        <v>1688</v>
      </c>
      <c r="J790" s="0" t="s">
        <v>920</v>
      </c>
    </row>
    <row r="791" customFormat="false" ht="15" hidden="false" customHeight="false" outlineLevel="0" collapsed="false">
      <c r="A791" s="0" t="s">
        <v>30</v>
      </c>
      <c r="B791" s="0" t="n">
        <v>6369</v>
      </c>
      <c r="C791" s="0" t="s">
        <v>1703</v>
      </c>
      <c r="D791" s="0" t="n">
        <v>175</v>
      </c>
      <c r="E791" s="0" t="n">
        <v>2664</v>
      </c>
      <c r="F791" s="0" t="s">
        <v>580</v>
      </c>
      <c r="G791" s="0" t="s">
        <v>883</v>
      </c>
      <c r="H791" s="0" t="s">
        <v>581</v>
      </c>
      <c r="I791" s="0" t="s">
        <v>1688</v>
      </c>
      <c r="J791" s="0" t="s">
        <v>920</v>
      </c>
    </row>
    <row r="792" customFormat="false" ht="15" hidden="false" customHeight="false" outlineLevel="0" collapsed="false">
      <c r="A792" s="0" t="s">
        <v>30</v>
      </c>
      <c r="B792" s="0" t="n">
        <v>13943</v>
      </c>
      <c r="C792" s="0" t="s">
        <v>1788</v>
      </c>
      <c r="D792" s="0" t="n">
        <v>240</v>
      </c>
      <c r="E792" s="0" t="n">
        <v>2664</v>
      </c>
      <c r="F792" s="0" t="s">
        <v>580</v>
      </c>
      <c r="G792" s="0" t="s">
        <v>883</v>
      </c>
      <c r="H792" s="0" t="s">
        <v>581</v>
      </c>
      <c r="I792" s="0" t="s">
        <v>1688</v>
      </c>
      <c r="J792" s="0" t="s">
        <v>920</v>
      </c>
    </row>
    <row r="793" customFormat="false" ht="15" hidden="false" customHeight="false" outlineLevel="0" collapsed="false">
      <c r="A793" s="0" t="s">
        <v>30</v>
      </c>
      <c r="B793" s="0" t="n">
        <v>21099</v>
      </c>
      <c r="C793" s="0" t="s">
        <v>1715</v>
      </c>
      <c r="D793" s="0" t="n">
        <v>80</v>
      </c>
      <c r="E793" s="0" t="n">
        <v>2664</v>
      </c>
      <c r="F793" s="0" t="s">
        <v>580</v>
      </c>
      <c r="G793" s="0" t="s">
        <v>883</v>
      </c>
      <c r="H793" s="0" t="s">
        <v>581</v>
      </c>
      <c r="I793" s="0" t="s">
        <v>1688</v>
      </c>
      <c r="J793" s="0" t="s">
        <v>920</v>
      </c>
    </row>
    <row r="794" customFormat="false" ht="15" hidden="false" customHeight="false" outlineLevel="0" collapsed="false">
      <c r="A794" s="0" t="s">
        <v>30</v>
      </c>
      <c r="B794" s="0" t="n">
        <v>17062</v>
      </c>
      <c r="C794" s="0" t="s">
        <v>1707</v>
      </c>
      <c r="D794" s="0" t="n">
        <v>175</v>
      </c>
      <c r="E794" s="0" t="n">
        <v>2664</v>
      </c>
      <c r="F794" s="0" t="s">
        <v>580</v>
      </c>
      <c r="G794" s="0" t="s">
        <v>883</v>
      </c>
      <c r="H794" s="0" t="s">
        <v>581</v>
      </c>
      <c r="I794" s="0" t="s">
        <v>1688</v>
      </c>
      <c r="J794" s="0" t="s">
        <v>920</v>
      </c>
    </row>
    <row r="795" customFormat="false" ht="15" hidden="false" customHeight="false" outlineLevel="0" collapsed="false">
      <c r="A795" s="0" t="s">
        <v>30</v>
      </c>
      <c r="B795" s="0" t="n">
        <v>3682</v>
      </c>
      <c r="C795" s="0" t="s">
        <v>1054</v>
      </c>
      <c r="D795" s="0" t="n">
        <v>130</v>
      </c>
      <c r="E795" s="0" t="n">
        <v>1148</v>
      </c>
      <c r="F795" s="0" t="s">
        <v>1691</v>
      </c>
      <c r="G795" s="0" t="s">
        <v>1137</v>
      </c>
      <c r="H795" s="0" t="s">
        <v>581</v>
      </c>
      <c r="I795" s="0" t="s">
        <v>1692</v>
      </c>
      <c r="J795" s="0" t="s">
        <v>652</v>
      </c>
    </row>
    <row r="796" customFormat="false" ht="15" hidden="false" customHeight="false" outlineLevel="0" collapsed="false">
      <c r="A796" s="0" t="s">
        <v>30</v>
      </c>
      <c r="B796" s="0" t="n">
        <v>12231</v>
      </c>
      <c r="C796" s="0" t="s">
        <v>1769</v>
      </c>
      <c r="D796" s="0" t="n">
        <v>175</v>
      </c>
      <c r="E796" s="0" t="n">
        <v>1148</v>
      </c>
      <c r="F796" s="0" t="s">
        <v>1691</v>
      </c>
      <c r="G796" s="0" t="s">
        <v>1137</v>
      </c>
      <c r="H796" s="0" t="s">
        <v>581</v>
      </c>
      <c r="I796" s="0" t="s">
        <v>1692</v>
      </c>
      <c r="J796" s="0" t="s">
        <v>652</v>
      </c>
    </row>
    <row r="797" customFormat="false" ht="15" hidden="false" customHeight="false" outlineLevel="0" collapsed="false">
      <c r="A797" s="0" t="s">
        <v>30</v>
      </c>
      <c r="B797" s="0" t="n">
        <v>12228</v>
      </c>
      <c r="C797" s="0" t="s">
        <v>1742</v>
      </c>
      <c r="D797" s="0" t="n">
        <v>175</v>
      </c>
      <c r="E797" s="0" t="n">
        <v>1148</v>
      </c>
      <c r="F797" s="0" t="s">
        <v>1691</v>
      </c>
      <c r="G797" s="0" t="s">
        <v>1137</v>
      </c>
      <c r="H797" s="0" t="s">
        <v>581</v>
      </c>
      <c r="I797" s="0" t="s">
        <v>1692</v>
      </c>
      <c r="J797" s="0" t="s">
        <v>652</v>
      </c>
    </row>
    <row r="798" customFormat="false" ht="15" hidden="false" customHeight="false" outlineLevel="0" collapsed="false">
      <c r="A798" s="0" t="s">
        <v>30</v>
      </c>
      <c r="B798" s="0" t="n">
        <v>16111</v>
      </c>
      <c r="C798" s="0" t="s">
        <v>1757</v>
      </c>
      <c r="D798" s="0" t="n">
        <v>225</v>
      </c>
      <c r="E798" s="0" t="n">
        <v>1149</v>
      </c>
      <c r="F798" s="0" t="s">
        <v>1697</v>
      </c>
      <c r="G798" s="0" t="s">
        <v>1140</v>
      </c>
      <c r="H798" s="0" t="s">
        <v>581</v>
      </c>
      <c r="I798" s="0" t="s">
        <v>1698</v>
      </c>
      <c r="J798" s="0" t="s">
        <v>652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2026-10-07T20:44:27Z</dcterms:created>
  <dc:creator>openpyxl</dc:creator>
  <dc:description/>
  <dc:language>en-US</dc:language>
  <cp:lastModifiedBy/>
  <dcterms:modified xsi:type="dcterms:W3CDTF">2026-10-10T16:29:30Z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